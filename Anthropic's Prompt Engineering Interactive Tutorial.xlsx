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at\Downloads\"/>
    </mc:Choice>
  </mc:AlternateContent>
  <xr:revisionPtr revIDLastSave="0" documentId="13_ncr:20001_{147DAA0A-7FA6-458A-886C-DB432EDD7D4A}" xr6:coauthVersionLast="47" xr6:coauthVersionMax="47" xr10:uidLastSave="{00000000-0000-0000-0000-000000000000}"/>
  <bookViews>
    <workbookView xWindow="-120" yWindow="-120" windowWidth="29040" windowHeight="15720" firstSheet="23" activeTab="26" xr2:uid="{00000000-000D-0000-FFFF-FFFF00000000}"/>
  </bookViews>
  <sheets>
    <sheet name="Tutorial How-To" sheetId="1" r:id="rId1"/>
    <sheet name="Claude Cache" sheetId="2" state="hidden" r:id="rId2"/>
    <sheet name="Intro &amp; Table of Contents" sheetId="3" r:id="rId3"/>
    <sheet name="1 - Basic Prompt Structure" sheetId="4" r:id="rId4"/>
    <sheet name="1 - Exercises Basic Prompt Stru" sheetId="5" r:id="rId5"/>
    <sheet name="2 - Being Clear and Direct" sheetId="6" r:id="rId6"/>
    <sheet name="2 - Exercises Being Clear and D" sheetId="7" r:id="rId7"/>
    <sheet name="3 - Assigning Roles (Role Promp" sheetId="8" r:id="rId8"/>
    <sheet name="3 - Exercises Assigning Roles (" sheetId="9" r:id="rId9"/>
    <sheet name="4 - Separating Data and Instruc" sheetId="10" r:id="rId10"/>
    <sheet name="4 - Exercises Separating Data a" sheetId="11" r:id="rId11"/>
    <sheet name="5 - Formatting Output &amp; Speakin" sheetId="12" r:id="rId12"/>
    <sheet name="5 - Exercises Formatting Output" sheetId="13" r:id="rId13"/>
    <sheet name="6 - Precognition (Thinking Step" sheetId="14" r:id="rId14"/>
    <sheet name="6 - Exercises Precognition" sheetId="15" r:id="rId15"/>
    <sheet name="7 - Using Examples (Few-Shot Pr" sheetId="16" r:id="rId16"/>
    <sheet name="7 - Exercises Using Examples (F" sheetId="17" r:id="rId17"/>
    <sheet name="8 - Avoiding Hallucinations" sheetId="18" r:id="rId18"/>
    <sheet name="8 - Exercises Avoiding Hallucin" sheetId="19" r:id="rId19"/>
    <sheet name="9 - Complex Prompts from Scratc" sheetId="20" r:id="rId20"/>
    <sheet name="9 - Complex Prompts for Legal S" sheetId="21" r:id="rId21"/>
    <sheet name="9 - Complex Prompts for Financi" sheetId="22" r:id="rId22"/>
    <sheet name="9 - Exercises Complex Prompts f" sheetId="23" r:id="rId23"/>
    <sheet name="9 - Congratulations &amp; Next Step" sheetId="24" r:id="rId24"/>
    <sheet name="Appendix - Chaining Prompts" sheetId="25" r:id="rId25"/>
    <sheet name="Appendix - Function Calling" sheetId="26" r:id="rId26"/>
    <sheet name="Appendix - Search &amp; Retrieval" sheetId="27" r:id="rId27"/>
  </sheets>
  <definedNames>
    <definedName name="App1Search">'Appendix - Search &amp; Retrieval'!$B$6:$D$6</definedName>
    <definedName name="App1Title">'Appendix - Search &amp; Retrieval'!$B$1:$E$1</definedName>
    <definedName name="AppChainingTitle">'Appendix - Chaining Prompts'!$B$1:$G$1</definedName>
    <definedName name="AppFunctionExamples">#REF!</definedName>
    <definedName name="AppFunctionLesson">'Appendix - Function Calling'!$B$8:$E$8</definedName>
    <definedName name="AppFunctionPlayground">#REF!</definedName>
    <definedName name="AppFunctionTitle">'Appendix - Function Calling'!$B$1:$G$1</definedName>
    <definedName name="IntroTitle">'Intro &amp; Table of Contents'!$B$1:$H$1</definedName>
    <definedName name="QuickStartTitle" localSheetId="0">'Tutorial How-To'!$B$1:$F$1</definedName>
    <definedName name="TutorialHowToTitle">#REF!</definedName>
    <definedName name="TutorialTitle">'Tutorial How-To'!$B$1:$F$1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3" i="25" l="1"/>
  <c r="E90" i="25"/>
  <c r="G93" i="25" s="1"/>
  <c r="I84" i="25"/>
  <c r="G80" i="25"/>
  <c r="E84" i="25" s="1"/>
  <c r="G84" i="25" s="1"/>
  <c r="I74" i="25"/>
  <c r="E74" i="25"/>
  <c r="G74" i="25" s="1"/>
  <c r="I68" i="25"/>
  <c r="G63" i="25"/>
  <c r="E68" i="25" s="1"/>
  <c r="G68" i="25" s="1"/>
  <c r="I55" i="25"/>
  <c r="E52" i="25"/>
  <c r="G55" i="25" s="1"/>
  <c r="I44" i="25"/>
  <c r="G40" i="25"/>
  <c r="E44" i="25" s="1"/>
  <c r="G44" i="25" s="1"/>
  <c r="I30" i="25"/>
  <c r="E30" i="25"/>
  <c r="G30" i="25" s="1"/>
  <c r="I22" i="25"/>
  <c r="G15" i="25"/>
  <c r="E22" i="25" s="1"/>
  <c r="G22" i="25" s="1"/>
  <c r="E22" i="24"/>
  <c r="L38" i="23"/>
  <c r="D38" i="23"/>
  <c r="J38" i="23" s="1"/>
  <c r="L34" i="22"/>
  <c r="D34" i="22"/>
  <c r="J34" i="22" s="1"/>
  <c r="L43" i="21"/>
  <c r="D43" i="21"/>
  <c r="J43" i="21" s="1"/>
  <c r="L38" i="20"/>
  <c r="D38" i="20"/>
  <c r="J38" i="20" s="1"/>
  <c r="E22" i="19"/>
  <c r="E11" i="19"/>
  <c r="E59" i="18"/>
  <c r="E55" i="18"/>
  <c r="E53" i="18"/>
  <c r="E51" i="18"/>
  <c r="E37" i="18"/>
  <c r="E30" i="18"/>
  <c r="E25" i="18"/>
  <c r="E20" i="18"/>
  <c r="I22" i="17"/>
  <c r="K22" i="17" s="1"/>
  <c r="G22" i="17"/>
  <c r="I19" i="17"/>
  <c r="K19" i="17" s="1"/>
  <c r="G19" i="17"/>
  <c r="I16" i="17"/>
  <c r="K16" i="17" s="1"/>
  <c r="G16" i="17"/>
  <c r="I13" i="17"/>
  <c r="K13" i="17" s="1"/>
  <c r="G13" i="17"/>
  <c r="E44" i="16"/>
  <c r="E41" i="16"/>
  <c r="E39" i="16"/>
  <c r="E26" i="16"/>
  <c r="E20" i="16"/>
  <c r="E15" i="16"/>
  <c r="I66" i="15"/>
  <c r="G66" i="15"/>
  <c r="I63" i="15"/>
  <c r="G63" i="15"/>
  <c r="I60" i="15"/>
  <c r="G60" i="15"/>
  <c r="I57" i="15"/>
  <c r="G57" i="15"/>
  <c r="I25" i="15"/>
  <c r="G25" i="15"/>
  <c r="I22" i="15"/>
  <c r="G22" i="15"/>
  <c r="I19" i="15"/>
  <c r="G19" i="15"/>
  <c r="I16" i="15"/>
  <c r="G16" i="15"/>
  <c r="E64" i="14"/>
  <c r="E62" i="14"/>
  <c r="E59" i="14"/>
  <c r="E53" i="14"/>
  <c r="E50" i="14"/>
  <c r="E39" i="14"/>
  <c r="E34" i="14"/>
  <c r="E28" i="14"/>
  <c r="E20" i="14"/>
  <c r="E15" i="14"/>
  <c r="I33" i="13"/>
  <c r="G33" i="13"/>
  <c r="I23" i="13"/>
  <c r="G23" i="13"/>
  <c r="G12" i="13"/>
  <c r="I57" i="12"/>
  <c r="G57" i="12"/>
  <c r="I54" i="12"/>
  <c r="G54" i="12"/>
  <c r="I51" i="12"/>
  <c r="G51" i="12"/>
  <c r="I48" i="12"/>
  <c r="G48" i="12"/>
  <c r="I32" i="12"/>
  <c r="G32" i="12"/>
  <c r="I27" i="12"/>
  <c r="G27" i="12"/>
  <c r="I22" i="12"/>
  <c r="G22" i="12"/>
  <c r="I15" i="12"/>
  <c r="G15" i="12"/>
  <c r="I32" i="11"/>
  <c r="G32" i="11"/>
  <c r="I23" i="11"/>
  <c r="G23" i="11"/>
  <c r="I12" i="11"/>
  <c r="G12" i="11"/>
  <c r="I81" i="10"/>
  <c r="G81" i="10"/>
  <c r="I77" i="10"/>
  <c r="G77" i="10"/>
  <c r="I71" i="10"/>
  <c r="G71" i="10"/>
  <c r="I64" i="10"/>
  <c r="G64" i="10"/>
  <c r="I61" i="10"/>
  <c r="G61" i="10"/>
  <c r="I47" i="10"/>
  <c r="G47" i="10"/>
  <c r="I41" i="10"/>
  <c r="G41" i="10"/>
  <c r="I33" i="10"/>
  <c r="G33" i="10"/>
  <c r="I22" i="10"/>
  <c r="G22" i="10"/>
  <c r="I15" i="10"/>
  <c r="G15" i="10"/>
  <c r="E10" i="9"/>
  <c r="E73" i="8"/>
  <c r="E67" i="8"/>
  <c r="E61" i="8"/>
  <c r="E55" i="8"/>
  <c r="E40" i="8"/>
  <c r="E32" i="8"/>
  <c r="E24" i="8"/>
  <c r="E15" i="8"/>
  <c r="E35" i="7"/>
  <c r="E24" i="7"/>
  <c r="E12" i="7"/>
  <c r="E52" i="6"/>
  <c r="E49" i="6"/>
  <c r="E47" i="6"/>
  <c r="E45" i="6"/>
  <c r="E33" i="6"/>
  <c r="E27" i="6"/>
  <c r="E22" i="6"/>
  <c r="E17" i="6"/>
  <c r="E24" i="5"/>
  <c r="E13" i="5"/>
  <c r="E92" i="4"/>
  <c r="E87" i="4"/>
  <c r="E85" i="4"/>
  <c r="E82" i="4"/>
  <c r="E80" i="4"/>
  <c r="E76" i="4"/>
  <c r="E74" i="4"/>
  <c r="E58" i="4"/>
  <c r="E47" i="4"/>
  <c r="E42" i="4"/>
  <c r="E36" i="4"/>
  <c r="E31" i="4"/>
  <c r="E27" i="4"/>
  <c r="E25" i="4"/>
</calcChain>
</file>

<file path=xl/sharedStrings.xml><?xml version="1.0" encoding="utf-8"?>
<sst xmlns="http://schemas.openxmlformats.org/spreadsheetml/2006/main" count="1521" uniqueCount="562">
  <si>
    <t>Tutorial How-To</t>
  </si>
  <si>
    <r>
      <rPr>
        <sz val="14"/>
        <rFont val="Arial"/>
      </rPr>
      <t>This tutorial</t>
    </r>
    <r>
      <rPr>
        <sz val="14"/>
        <color rgb="FFFF0000"/>
        <rFont val="Arial"/>
      </rPr>
      <t xml:space="preserve"> </t>
    </r>
    <r>
      <rPr>
        <b/>
        <sz val="14"/>
        <color rgb="FFFF0000"/>
        <rFont val="Arial"/>
      </rPr>
      <t>requires an API key</t>
    </r>
    <r>
      <rPr>
        <sz val="14"/>
        <color rgb="FFFF0000"/>
        <rFont val="Arial"/>
      </rPr>
      <t xml:space="preserve"> </t>
    </r>
    <r>
      <rPr>
        <sz val="14"/>
        <rFont val="Arial"/>
      </rPr>
      <t xml:space="preserve">for interaction. </t>
    </r>
    <r>
      <rPr>
        <sz val="11"/>
        <rFont val="Arial"/>
      </rPr>
      <t xml:space="preserve">
If you don't have an API key, you can sign up for one via the </t>
    </r>
    <r>
      <rPr>
        <u/>
        <sz val="11"/>
        <color rgb="FF1155CC"/>
        <rFont val="Arial"/>
      </rPr>
      <t>Anthropic Console</t>
    </r>
    <r>
      <rPr>
        <sz val="11"/>
        <rFont val="Arial"/>
      </rPr>
      <t xml:space="preserve"> or view our </t>
    </r>
    <r>
      <rPr>
        <u/>
        <sz val="11"/>
        <color rgb="FF1155CC"/>
        <rFont val="Arial"/>
      </rPr>
      <t>static tutorial answer key</t>
    </r>
    <r>
      <rPr>
        <sz val="11"/>
        <rFont val="Arial"/>
      </rPr>
      <t xml:space="preserve"> instead.</t>
    </r>
  </si>
  <si>
    <t>How to get started</t>
  </si>
  <si>
    <r>
      <rPr>
        <sz val="11"/>
        <color theme="1"/>
        <rFont val="Arial"/>
      </rPr>
      <t xml:space="preserve">1. </t>
    </r>
    <r>
      <rPr>
        <b/>
        <u/>
        <sz val="11"/>
        <color theme="1"/>
        <rFont val="Arial"/>
      </rPr>
      <t>Make a copy of this sheet</t>
    </r>
    <r>
      <rPr>
        <sz val="11"/>
        <color theme="1"/>
        <rFont val="Arial"/>
      </rPr>
      <t xml:space="preserve"> and save it to your personal Google Drive
2. Install the Claude for Sheets extension (</t>
    </r>
    <r>
      <rPr>
        <u/>
        <sz val="11"/>
        <color theme="1"/>
        <rFont val="Arial"/>
      </rPr>
      <t>it may already be installed</t>
    </r>
    <r>
      <rPr>
        <sz val="11"/>
        <color theme="1"/>
        <rFont val="Arial"/>
      </rPr>
      <t>, in which case, skip to step 3)</t>
    </r>
  </si>
  <si>
    <r>
      <rPr>
        <sz val="11"/>
        <rFont val="Arial"/>
      </rPr>
      <t xml:space="preserve">a. Go to the </t>
    </r>
    <r>
      <rPr>
        <u/>
        <sz val="11"/>
        <color rgb="FF1155CC"/>
        <rFont val="Arial"/>
      </rPr>
      <t>Claude for Sheets extension listing</t>
    </r>
  </si>
  <si>
    <r>
      <rPr>
        <sz val="11"/>
        <color theme="1"/>
        <rFont val="Arial"/>
      </rPr>
      <t xml:space="preserve">b. Click the </t>
    </r>
    <r>
      <rPr>
        <u/>
        <sz val="11"/>
        <color theme="1"/>
        <rFont val="Arial"/>
      </rPr>
      <t>blue install button</t>
    </r>
  </si>
  <si>
    <t xml:space="preserve">
3. Enable use of the Claude for Sheets extension on this document:</t>
  </si>
  <si>
    <r>
      <rPr>
        <sz val="11"/>
        <color theme="1"/>
        <rFont val="Arial"/>
      </rPr>
      <t xml:space="preserve">a. In the </t>
    </r>
    <r>
      <rPr>
        <u/>
        <sz val="11"/>
        <color theme="1"/>
        <rFont val="Arial"/>
      </rPr>
      <t>Extensions</t>
    </r>
    <r>
      <rPr>
        <sz val="11"/>
        <color theme="1"/>
        <rFont val="Arial"/>
      </rPr>
      <t xml:space="preserve"> menu in the toolbar, go to </t>
    </r>
    <r>
      <rPr>
        <u/>
        <sz val="11"/>
        <color theme="1"/>
        <rFont val="Arial"/>
      </rPr>
      <t>Add-ons</t>
    </r>
    <r>
      <rPr>
        <sz val="11"/>
        <color theme="1"/>
        <rFont val="Arial"/>
      </rPr>
      <t xml:space="preserve"> &gt; </t>
    </r>
    <r>
      <rPr>
        <u/>
        <sz val="11"/>
        <color theme="1"/>
        <rFont val="Arial"/>
      </rPr>
      <t>Manage add-ons</t>
    </r>
  </si>
  <si>
    <r>
      <rPr>
        <sz val="11"/>
        <color theme="1"/>
        <rFont val="Arial"/>
      </rPr>
      <t xml:space="preserve">b. Click the </t>
    </r>
    <r>
      <rPr>
        <u/>
        <sz val="11"/>
        <color theme="1"/>
        <rFont val="Arial"/>
      </rPr>
      <t>kebab / triple dot options menu on the top right corner</t>
    </r>
    <r>
      <rPr>
        <sz val="11"/>
        <color theme="1"/>
        <rFont val="Arial"/>
      </rPr>
      <t xml:space="preserve"> of the Claude for Sheets extension</t>
    </r>
  </si>
  <si>
    <r>
      <rPr>
        <sz val="11"/>
        <color theme="1"/>
        <rFont val="Arial"/>
      </rPr>
      <t xml:space="preserve">c. Make sure </t>
    </r>
    <r>
      <rPr>
        <u/>
        <sz val="11"/>
        <color theme="1"/>
        <rFont val="Arial"/>
      </rPr>
      <t>"Use in this document" is checked</t>
    </r>
  </si>
  <si>
    <t>4. Add your API key</t>
  </si>
  <si>
    <r>
      <rPr>
        <sz val="11"/>
        <rFont val="Arial"/>
      </rPr>
      <t xml:space="preserve">a. Acquire your unique </t>
    </r>
    <r>
      <rPr>
        <u/>
        <sz val="11"/>
        <rFont val="Arial"/>
      </rPr>
      <t>Anthropic API key</t>
    </r>
    <r>
      <rPr>
        <sz val="11"/>
        <rFont val="Arial"/>
      </rPr>
      <t xml:space="preserve"> following </t>
    </r>
    <r>
      <rPr>
        <sz val="11"/>
        <color rgb="FF1155CC"/>
        <rFont val="Arial"/>
      </rPr>
      <t>these instructions</t>
    </r>
  </si>
  <si>
    <r>
      <rPr>
        <sz val="11"/>
        <color theme="1"/>
        <rFont val="Arial"/>
      </rPr>
      <t xml:space="preserve">b. Enable your extension by entering your API key at </t>
    </r>
    <r>
      <rPr>
        <u/>
        <sz val="11"/>
        <color theme="1"/>
        <rFont val="Arial"/>
      </rPr>
      <t>Extensions</t>
    </r>
    <r>
      <rPr>
        <sz val="11"/>
        <color theme="1"/>
        <rFont val="Arial"/>
      </rPr>
      <t xml:space="preserve"> &gt; </t>
    </r>
    <r>
      <rPr>
        <u/>
        <sz val="11"/>
        <color theme="1"/>
        <rFont val="Arial"/>
      </rPr>
      <t>Claude for Sheets™</t>
    </r>
    <r>
      <rPr>
        <sz val="11"/>
        <color theme="1"/>
        <rFont val="Arial"/>
      </rPr>
      <t xml:space="preserve"> &gt; </t>
    </r>
    <r>
      <rPr>
        <u/>
        <sz val="11"/>
        <color theme="1"/>
        <rFont val="Arial"/>
      </rPr>
      <t>Enter your Anthropic API Key</t>
    </r>
  </si>
  <si>
    <t>Usage Notes &amp; Tips 💡</t>
  </si>
  <si>
    <r>
      <rPr>
        <sz val="11"/>
        <color theme="1"/>
        <rFont val="Arial"/>
      </rPr>
      <t xml:space="preserve">This course uses Claude 3 Haiku with temperature 0. We will talk more about temperature later in the course. For now, it's enough to understand that these settings yield faster and more deterministic results. All prompt engineering techniques in this course also apply to other Claude models.
To </t>
    </r>
    <r>
      <rPr>
        <u/>
        <sz val="11"/>
        <color theme="1"/>
        <rFont val="Arial"/>
      </rPr>
      <t>add a new line in a cell</t>
    </r>
    <r>
      <rPr>
        <sz val="11"/>
        <color theme="1"/>
        <rFont val="Arial"/>
      </rPr>
      <t>, do the following while editing a cell:</t>
    </r>
  </si>
  <si>
    <r>
      <rPr>
        <b/>
        <sz val="10"/>
        <color theme="1"/>
        <rFont val="Arial"/>
      </rPr>
      <t>Mac:</t>
    </r>
    <r>
      <rPr>
        <sz val="10"/>
        <color theme="1"/>
        <rFont val="Arial"/>
      </rPr>
      <t xml:space="preserve"> Cmd + Enter</t>
    </r>
  </si>
  <si>
    <r>
      <rPr>
        <b/>
        <sz val="10"/>
        <color theme="1"/>
        <rFont val="Arial"/>
      </rPr>
      <t xml:space="preserve">Windows: </t>
    </r>
    <r>
      <rPr>
        <sz val="10"/>
        <color theme="1"/>
        <rFont val="Arial"/>
      </rPr>
      <t>Alt + Enter</t>
    </r>
  </si>
  <si>
    <r>
      <rPr>
        <sz val="11"/>
        <color theme="1"/>
        <rFont val="Arial"/>
      </rPr>
      <t xml:space="preserve">To </t>
    </r>
    <r>
      <rPr>
        <u/>
        <sz val="11"/>
        <color theme="1"/>
        <rFont val="Arial"/>
      </rPr>
      <t>navigate to other pages</t>
    </r>
    <r>
      <rPr>
        <sz val="11"/>
        <color theme="1"/>
        <rFont val="Arial"/>
      </rPr>
      <t>:</t>
    </r>
  </si>
  <si>
    <r>
      <rPr>
        <sz val="11"/>
        <color theme="1"/>
        <rFont val="Arial"/>
      </rPr>
      <t xml:space="preserve">1. Click on the </t>
    </r>
    <r>
      <rPr>
        <sz val="11"/>
        <color rgb="FF999999"/>
        <rFont val="Arial"/>
      </rPr>
      <t>gray navigational links</t>
    </r>
    <r>
      <rPr>
        <sz val="11"/>
        <color theme="1"/>
        <rFont val="Arial"/>
      </rPr>
      <t xml:space="preserve"> at the bottom of each page or at the top right corner of each page section</t>
    </r>
  </si>
  <si>
    <r>
      <rPr>
        <sz val="11"/>
        <color theme="1"/>
        <rFont val="Arial"/>
      </rPr>
      <t xml:space="preserve">2. Click on the </t>
    </r>
    <r>
      <rPr>
        <sz val="11"/>
        <color rgb="FF1155CC"/>
        <rFont val="Arial"/>
      </rPr>
      <t>blue-linked pop-up</t>
    </r>
  </si>
  <si>
    <r>
      <rPr>
        <sz val="11"/>
        <color theme="1"/>
        <rFont val="Arial"/>
      </rPr>
      <t xml:space="preserve">When you </t>
    </r>
    <r>
      <rPr>
        <u/>
        <sz val="11"/>
        <color theme="1"/>
        <rFont val="Arial"/>
      </rPr>
      <t>arrive at the correct answer</t>
    </r>
    <r>
      <rPr>
        <sz val="11"/>
        <color theme="1"/>
        <rFont val="Arial"/>
      </rPr>
      <t xml:space="preserve">, Claude's response cell will turn </t>
    </r>
    <r>
      <rPr>
        <b/>
        <sz val="11"/>
        <color rgb="FF34A853"/>
        <rFont val="Arial"/>
      </rPr>
      <t>GREEN</t>
    </r>
    <r>
      <rPr>
        <sz val="11"/>
        <color theme="1"/>
        <rFont val="Arial"/>
      </rPr>
      <t>.</t>
    </r>
  </si>
  <si>
    <t>Feel free to make more copies of this sheet as needed.</t>
  </si>
  <si>
    <t>Claude model:</t>
  </si>
  <si>
    <t>claude-3-haiku-20240307</t>
  </si>
  <si>
    <t>Introduction &amp; Table of Contents →</t>
  </si>
  <si>
    <t>⚠️ SHEET RESERVED FOR =CLAUDE... FUNCTIONS. DO NOT EDIT! ⚠️</t>
  </si>
  <si>
    <t>Key</t>
  </si>
  <si>
    <t>Value</t>
  </si>
  <si>
    <t>Expiration</t>
  </si>
  <si>
    <t>rywJcnr4ZQuS7qYU87K9ZtZSMmKa%8%HmjHOt3uJFb4=</t>
  </si>
  <si>
    <t>1. Laura Simmons [ORGANIC FARMER]
2. Kevin Alvarez [DANCE INSTRUCTOR]
3. Rachel O'Connor [VOLUNTEER]
&lt;/individuals&gt;</t>
  </si>
  <si>
    <t>2024-04-11T18:21:50.640Z</t>
  </si>
  <si>
    <t>ICTqpgwSnlFBH6YNJTlJZ%K5hPJidVEUgq1d6ggGToA=</t>
  </si>
  <si>
    <t>The career that typically requires more than a bachelor's degree between the two is social worker. While a bachelor's degree in sociology can provide a good foundation, most social worker roles require a master's degree in social work (MSW) for licensure and advanced practice. The human resources specialist role is more commonly attainable with just a bachelor's degree in sociology or a related field.&lt;/response&gt;</t>
  </si>
  <si>
    <t>WJhH%OHNVMQXQqTB03Rpp66Cqu3ItAGhum4E3+bralQ=</t>
  </si>
  <si>
    <t>Based on the content and tone of the email, I would classify it as a "blue" email. The email expresses confusion, uncertainty, and a request for help, which are typically associated with a "blue" emotional state or mindset.
The phrases "How did I get here" and "I am not good with computer" suggest the person is feeling lost, overwhelmed, or frustrated with the situation they are in. The use of "Halp" also conveys a sense of urgency and a need for assistance, which is characteristic of a "blue" email.
Overall, the email conveys a sense of distress or difficulty, which aligns more with the "blue" classification rather than the more positive and confident "green" classification.</t>
  </si>
  <si>
    <t>m5Livh9wTl0WJ1mmfDnWWZRQPPTR5n5cob08fKUmOXk=</t>
  </si>
  <si>
    <t>Based on the content of the email, this would be classified as a "blue" email. The question about using a Mixmaster 4000 to mix paint suggests this is not a typical household task, but rather something more industrial or specialized. Blue emails generally involve more technical or work-related topics, rather than everyday personal or household matters.</t>
  </si>
  <si>
    <t>!eb5ZHntwIVl7bP96oz3yxzsNTvKVV8b5qjgazkR1oo=</t>
  </si>
  <si>
    <t>Based on the tone and content of the email, this would be classified as a "blue" email. The email is written in all capital letters, which conveys a sense of frustration and urgency. The language used, such as "WTF is going on???" also suggests an angry or upset tone. This type of email would typically be considered a "blue" email, indicating a negative emotional state and the need for a more empathetic and understanding response.</t>
  </si>
  <si>
    <t>xCJnkl%WGC2clpmNpbuw1Zw59fDobV56EvVCKL4uvec=</t>
  </si>
  <si>
    <t>Based on the content of the email, this would be classified as a "blue" email. The email describes a technical issue with a product, indicating a problem that needs to be addressed. This type of email is typically considered a "blue" email, as it is focused on a specific problem or request for assistance, rather than a general inquiry or positive feedback (which would be considered a "green" email).</t>
  </si>
  <si>
    <t>bCmzQaGOwM9dJSv01L0ZOPQaQzxAIHx4oKB%mVYyDEQ=</t>
  </si>
  <si>
    <t>Hi there! How can I assist you today?</t>
  </si>
  <si>
    <t>Welcome to the Prompt Engineering Interactive Tutorial</t>
  </si>
  <si>
    <t>Course introduction and goals</t>
  </si>
  <si>
    <r>
      <rPr>
        <sz val="11"/>
        <color theme="1"/>
        <rFont val="Arial"/>
      </rPr>
      <t xml:space="preserve">This course is intended to provide you with a comprehensive step-by-step understanding of how to engineer optimal prompts within Claude.
</t>
    </r>
    <r>
      <rPr>
        <b/>
        <sz val="12"/>
        <color theme="1"/>
        <rFont val="Arial"/>
      </rPr>
      <t>After completing this course, you will be able to:</t>
    </r>
    <r>
      <rPr>
        <sz val="11"/>
        <color theme="1"/>
        <rFont val="Arial"/>
      </rPr>
      <t xml:space="preserve">
</t>
    </r>
    <r>
      <rPr>
        <sz val="11"/>
        <color rgb="FF34A853"/>
        <rFont val="Arial"/>
      </rPr>
      <t>✓</t>
    </r>
    <r>
      <rPr>
        <sz val="11"/>
        <color theme="1"/>
        <rFont val="Arial"/>
      </rPr>
      <t xml:space="preserve"> Master the basic structure of a good prompt
</t>
    </r>
    <r>
      <rPr>
        <sz val="11"/>
        <color rgb="FF34A853"/>
        <rFont val="Arial"/>
      </rPr>
      <t>✓</t>
    </r>
    <r>
      <rPr>
        <sz val="11"/>
        <color theme="1"/>
        <rFont val="Arial"/>
      </rPr>
      <t xml:space="preserve"> Recognize common failure modes and learn the '80/20' techniques to address them
</t>
    </r>
    <r>
      <rPr>
        <sz val="11"/>
        <color rgb="FF34A853"/>
        <rFont val="Arial"/>
      </rPr>
      <t>✓</t>
    </r>
    <r>
      <rPr>
        <sz val="11"/>
        <color theme="1"/>
        <rFont val="Arial"/>
      </rPr>
      <t xml:space="preserve"> Understand Claude's strengths and weaknesses
</t>
    </r>
    <r>
      <rPr>
        <sz val="11"/>
        <color rgb="FF34A853"/>
        <rFont val="Arial"/>
      </rPr>
      <t>✓</t>
    </r>
    <r>
      <rPr>
        <sz val="11"/>
        <color theme="1"/>
        <rFont val="Arial"/>
      </rPr>
      <t xml:space="preserve"> Build strong prompts from scratch for common use cases</t>
    </r>
  </si>
  <si>
    <t>Course structure and content</t>
  </si>
  <si>
    <r>
      <rPr>
        <sz val="11"/>
        <rFont val="Arial"/>
      </rPr>
      <t xml:space="preserve">This course is structured to allow you many chances to practice writing and troubleshooting prompts yourself. The course is broken up into </t>
    </r>
    <r>
      <rPr>
        <b/>
        <sz val="11"/>
        <rFont val="Arial"/>
      </rPr>
      <t>9 chapters with accompanying exercises</t>
    </r>
    <r>
      <rPr>
        <sz val="11"/>
        <rFont val="Arial"/>
      </rPr>
      <t xml:space="preserve">, as well as an appendix of even more advanced methods. It is intended for you to </t>
    </r>
    <r>
      <rPr>
        <b/>
        <sz val="11"/>
        <rFont val="Arial"/>
      </rPr>
      <t>work through the course in chapter order</t>
    </r>
    <r>
      <rPr>
        <sz val="11"/>
        <rFont val="Arial"/>
      </rPr>
      <t xml:space="preserve">.
</t>
    </r>
    <r>
      <rPr>
        <b/>
        <sz val="11"/>
        <rFont val="Arial"/>
      </rPr>
      <t>Each lesson has an "Example Playground" area</t>
    </r>
    <r>
      <rPr>
        <sz val="11"/>
        <rFont val="Arial"/>
      </rPr>
      <t xml:space="preserve"> at the bottom where you are free to experiment with the examples in the lesson and see for yourself how changing prompts can change Claude's responses. There is also an </t>
    </r>
    <r>
      <rPr>
        <u/>
        <sz val="11"/>
        <color rgb="FF1155CC"/>
        <rFont val="Arial"/>
      </rPr>
      <t>answer key</t>
    </r>
    <r>
      <rPr>
        <sz val="11"/>
        <rFont val="Arial"/>
      </rPr>
      <t xml:space="preserve">.
</t>
    </r>
    <r>
      <rPr>
        <b/>
        <sz val="11"/>
        <rFont val="Arial"/>
      </rPr>
      <t>Note:</t>
    </r>
    <r>
      <rPr>
        <sz val="11"/>
        <rFont val="Arial"/>
      </rPr>
      <t xml:space="preserve"> This tutorial uses our smallest, fastest, and cheapest model, Claude 3 Haiku. We have </t>
    </r>
    <r>
      <rPr>
        <u/>
        <sz val="11"/>
        <color rgb="FF1155CC"/>
        <rFont val="Arial"/>
      </rPr>
      <t>two other models</t>
    </r>
    <r>
      <rPr>
        <sz val="11"/>
        <rFont val="Arial"/>
      </rPr>
      <t xml:space="preserve">, Claude 3 Sonnet and Claude 3 Opus, which are more intelligent than Haiku, with Opus being the most intelligent.
</t>
    </r>
    <r>
      <rPr>
        <i/>
        <sz val="11"/>
        <rFont val="Arial"/>
      </rPr>
      <t xml:space="preserve">This tutorial also exists as a </t>
    </r>
    <r>
      <rPr>
        <i/>
        <u/>
        <sz val="11"/>
        <color rgb="FF1155CC"/>
        <rFont val="Arial"/>
      </rPr>
      <t>series of python notebooks</t>
    </r>
    <r>
      <rPr>
        <i/>
        <sz val="11"/>
        <rFont val="Arial"/>
      </rPr>
      <t>, although we recommend using this spreadsheet as it is more user-friendly.</t>
    </r>
    <r>
      <rPr>
        <sz val="11"/>
        <rFont val="Arial"/>
      </rPr>
      <t xml:space="preserve">
</t>
    </r>
    <r>
      <rPr>
        <u/>
        <sz val="11"/>
        <color rgb="FFFF0000"/>
        <rFont val="Arial"/>
      </rPr>
      <t>When you are ready to begin, click on the Chapter 1 Lesson to proceed.</t>
    </r>
  </si>
  <si>
    <t>Admin</t>
  </si>
  <si>
    <t>Get Started Here</t>
  </si>
  <si>
    <t>Beginner</t>
  </si>
  <si>
    <t>Chapter 1: Basic Prompt Structure</t>
  </si>
  <si>
    <t>Lesson</t>
  </si>
  <si>
    <t>Exercises</t>
  </si>
  <si>
    <t>Chapter 2: Being Clear and Direct</t>
  </si>
  <si>
    <t>Chapter 3: Assigning Roles</t>
  </si>
  <si>
    <t>Intermediate</t>
  </si>
  <si>
    <t>Chapter 4: Separating Data from Instructions</t>
  </si>
  <si>
    <t>Chapter 5: Formatting Output &amp; Speaking for Claude</t>
  </si>
  <si>
    <t>Chapter 6: Precognition (Thinking Step by Step)</t>
  </si>
  <si>
    <t>Chapter 7: Using Examples</t>
  </si>
  <si>
    <t>Advanced</t>
  </si>
  <si>
    <t>Chapter 8: Avoiding Hallucinations</t>
  </si>
  <si>
    <t>Chapter 9: Building Complex Prompts (Industry Use Cases)</t>
  </si>
  <si>
    <t>Complex Prompts from Scratch - Chatbot</t>
  </si>
  <si>
    <t>Complex Prompts for Legal Services</t>
  </si>
  <si>
    <t>Exercise: Complex Prompts for Financial Services</t>
  </si>
  <si>
    <t>Exercise: Complex Prompts for Coding</t>
  </si>
  <si>
    <t>Congratulations &amp; Next Steps</t>
  </si>
  <si>
    <t>Appendix: Beyond Standard Prompting</t>
  </si>
  <si>
    <t>Chaining Prompts</t>
  </si>
  <si>
    <t>Function Calling</t>
  </si>
  <si>
    <t>Search &amp; Retrieval</t>
  </si>
  <si>
    <t>← Tutorial How-To</t>
  </si>
  <si>
    <t>Chapter 1: Basic Prompt Structure →</t>
  </si>
  <si>
    <t>Page Contents</t>
  </si>
  <si>
    <t>Examples</t>
  </si>
  <si>
    <t> </t>
  </si>
  <si>
    <t>Example Playground</t>
  </si>
  <si>
    <t>Back to top ↑</t>
  </si>
  <si>
    <r>
      <rPr>
        <sz val="11"/>
        <color rgb="FF1F1F1F"/>
        <rFont val="Arial"/>
      </rPr>
      <t xml:space="preserve">The Claude for Sheets extension offers </t>
    </r>
    <r>
      <rPr>
        <u/>
        <sz val="11"/>
        <color rgb="FF1155CC"/>
        <rFont val="Arial"/>
      </rPr>
      <t>several functions</t>
    </r>
    <r>
      <rPr>
        <sz val="11"/>
        <color rgb="FF1F1F1F"/>
        <rFont val="Arial"/>
      </rPr>
      <t xml:space="preserve"> you can use to call Claude. One such function is </t>
    </r>
    <r>
      <rPr>
        <b/>
        <sz val="11"/>
        <color rgb="FF1F1F1F"/>
        <rFont val="Arial"/>
      </rPr>
      <t>CLAUDEMESSAGES()</t>
    </r>
    <r>
      <rPr>
        <sz val="11"/>
        <color rgb="FF1F1F1F"/>
        <rFont val="Arial"/>
      </rPr>
      <t xml:space="preserve">, which is built to reflect the </t>
    </r>
    <r>
      <rPr>
        <u/>
        <sz val="11"/>
        <color rgb="FF1155CC"/>
        <rFont val="Arial"/>
      </rPr>
      <t>Messages API</t>
    </r>
    <r>
      <rPr>
        <sz val="11"/>
        <color rgb="FF1F1F1F"/>
        <rFont val="Arial"/>
      </rPr>
      <t xml:space="preserve"> structure.</t>
    </r>
  </si>
  <si>
    <r>
      <rPr>
        <b/>
        <sz val="11"/>
        <color theme="1"/>
        <rFont val="Arial"/>
      </rPr>
      <t>CLAUDEMESSAGES()</t>
    </r>
    <r>
      <rPr>
        <sz val="11"/>
        <color theme="1"/>
        <rFont val="Arial"/>
      </rPr>
      <t xml:space="preserve"> can take several parameters, in the following order:</t>
    </r>
  </si>
  <si>
    <t>1. Your prompt, in quotation marks</t>
  </si>
  <si>
    <t>2. The model version, in quotation marks</t>
  </si>
  <si>
    <r>
      <rPr>
        <sz val="11"/>
        <rFont val="Arial"/>
      </rPr>
      <t xml:space="preserve">3. Any </t>
    </r>
    <r>
      <rPr>
        <u/>
        <sz val="11"/>
        <color rgb="FF1155CC"/>
        <rFont val="Arial"/>
      </rPr>
      <t>optional additional parameters</t>
    </r>
    <r>
      <rPr>
        <sz val="11"/>
        <rFont val="Arial"/>
      </rPr>
      <t>, such as temperature, system prompt, max tokens, etc.</t>
    </r>
  </si>
  <si>
    <r>
      <rPr>
        <b/>
        <sz val="11"/>
        <color theme="1"/>
        <rFont val="Arial"/>
      </rPr>
      <t xml:space="preserve">Note: </t>
    </r>
    <r>
      <rPr>
        <sz val="11"/>
        <color theme="1"/>
        <rFont val="Arial"/>
      </rPr>
      <t>Temperature correlates to the degree of variability in Claude's answer. For these exercises, we have set the "temperature" to 0. In Chapter 8, we'll dive deeper into temperature.</t>
    </r>
  </si>
  <si>
    <r>
      <rPr>
        <sz val="11"/>
        <color theme="1"/>
        <rFont val="Arial"/>
      </rPr>
      <t xml:space="preserve">Anywhere in this sheet, you can </t>
    </r>
    <r>
      <rPr>
        <u/>
        <sz val="11"/>
        <color theme="1"/>
        <rFont val="Arial"/>
      </rPr>
      <t xml:space="preserve">call Claude by using the </t>
    </r>
    <r>
      <rPr>
        <b/>
        <u/>
        <sz val="11"/>
        <color theme="1"/>
        <rFont val="Arial"/>
      </rPr>
      <t xml:space="preserve">CLAUDEMESSAGES() </t>
    </r>
    <r>
      <rPr>
        <u/>
        <sz val="11"/>
        <color theme="1"/>
        <rFont val="Arial"/>
      </rPr>
      <t>formula</t>
    </r>
    <r>
      <rPr>
        <sz val="11"/>
        <color theme="1"/>
        <rFont val="Arial"/>
      </rPr>
      <t xml:space="preserve">. The basic formula is structured like this: </t>
    </r>
    <r>
      <rPr>
        <b/>
        <sz val="11"/>
        <color theme="1"/>
        <rFont val="Courier New"/>
      </rPr>
      <t>=CLAUDEMESSAGES(</t>
    </r>
    <r>
      <rPr>
        <b/>
        <sz val="11"/>
        <color rgb="FF34A853"/>
        <rFont val="Courier New"/>
      </rPr>
      <t>"{PROMPT}"</t>
    </r>
    <r>
      <rPr>
        <b/>
        <sz val="11"/>
        <color theme="1"/>
        <rFont val="Courier New"/>
      </rPr>
      <t xml:space="preserve">, </t>
    </r>
    <r>
      <rPr>
        <b/>
        <sz val="11"/>
        <color rgb="FF34A853"/>
        <rFont val="Courier New"/>
      </rPr>
      <t>"{MODEL_VERSION}"</t>
    </r>
    <r>
      <rPr>
        <b/>
        <sz val="11"/>
        <color theme="1"/>
        <rFont val="Courier New"/>
      </rPr>
      <t>,</t>
    </r>
    <r>
      <rPr>
        <b/>
        <sz val="11"/>
        <color rgb="FF34A853"/>
        <rFont val="Courier New"/>
      </rPr>
      <t xml:space="preserve"> </t>
    </r>
    <r>
      <rPr>
        <b/>
        <sz val="11"/>
        <color theme="1"/>
        <rFont val="Courier New"/>
      </rPr>
      <t>"system"</t>
    </r>
    <r>
      <rPr>
        <b/>
        <sz val="11"/>
        <color rgb="FF34A853"/>
        <rFont val="Courier New"/>
      </rPr>
      <t>, "{SYSTEM_PROMPT}"</t>
    </r>
    <r>
      <rPr>
        <b/>
        <sz val="11"/>
        <color theme="1"/>
        <rFont val="Courier New"/>
      </rPr>
      <t xml:space="preserve">) 
</t>
    </r>
    <r>
      <rPr>
        <sz val="11"/>
        <color theme="1"/>
        <rFont val="Arial"/>
      </rPr>
      <t xml:space="preserve">For example, to call Claude 3 Haiku with a prompt located in cell </t>
    </r>
    <r>
      <rPr>
        <b/>
        <sz val="11"/>
        <color theme="1"/>
        <rFont val="Arial"/>
      </rPr>
      <t>A1</t>
    </r>
    <r>
      <rPr>
        <sz val="11"/>
        <color theme="1"/>
        <rFont val="Arial"/>
      </rPr>
      <t xml:space="preserve">, you would write: </t>
    </r>
    <r>
      <rPr>
        <b/>
        <sz val="11"/>
        <color theme="1"/>
        <rFont val="Courier New"/>
      </rPr>
      <t>=CLAUDEMESSAGES(</t>
    </r>
    <r>
      <rPr>
        <b/>
        <sz val="11"/>
        <color rgb="FFE69138"/>
        <rFont val="Courier New"/>
      </rPr>
      <t>A1</t>
    </r>
    <r>
      <rPr>
        <b/>
        <sz val="11"/>
        <color theme="1"/>
        <rFont val="Courier New"/>
      </rPr>
      <t xml:space="preserve">, </t>
    </r>
    <r>
      <rPr>
        <b/>
        <sz val="11"/>
        <color rgb="FF34A853"/>
        <rFont val="Courier New"/>
      </rPr>
      <t>"claude-3-haiku-20240307"</t>
    </r>
    <r>
      <rPr>
        <b/>
        <sz val="11"/>
        <color theme="1"/>
        <rFont val="Courier New"/>
      </rPr>
      <t>,</t>
    </r>
    <r>
      <rPr>
        <b/>
        <sz val="11"/>
        <color rgb="FF34A853"/>
        <rFont val="Courier New"/>
      </rPr>
      <t xml:space="preserve"> </t>
    </r>
    <r>
      <rPr>
        <b/>
        <sz val="11"/>
        <color theme="1"/>
        <rFont val="Courier New"/>
      </rPr>
      <t>"system"</t>
    </r>
    <r>
      <rPr>
        <b/>
        <sz val="11"/>
        <color rgb="FF34A853"/>
        <rFont val="Courier New"/>
      </rPr>
      <t>, "Respond only in Esperanto"</t>
    </r>
    <r>
      <rPr>
        <b/>
        <sz val="11"/>
        <color theme="1"/>
        <rFont val="Courier New"/>
      </rPr>
      <t>)</t>
    </r>
  </si>
  <si>
    <t>How does the CLAUDEMESSAGES() structure correlate with the Messages API structure? Let's look a few examples of prompts sent to CLAUDEMESSAGES() along with the underlying formula.</t>
  </si>
  <si>
    <r>
      <rPr>
        <sz val="11"/>
        <color theme="1"/>
        <rFont val="Arial"/>
      </rPr>
      <t xml:space="preserve">Let's take a look at how Claude responds to some </t>
    </r>
    <r>
      <rPr>
        <u/>
        <sz val="11"/>
        <color theme="1"/>
        <rFont val="Arial"/>
      </rPr>
      <t>correctly-formatted prompts</t>
    </r>
    <r>
      <rPr>
        <sz val="11"/>
        <color theme="1"/>
        <rFont val="Arial"/>
      </rPr>
      <t>. Don't worry about how the answers are being generated.</t>
    </r>
  </si>
  <si>
    <t>Prompt</t>
  </si>
  <si>
    <t>Claude's Response</t>
  </si>
  <si>
    <t>User: Hi Claude, how are you?</t>
  </si>
  <si>
    <t>➤</t>
  </si>
  <si>
    <t>User: Can you tell me the color of the ocean?</t>
  </si>
  <si>
    <t>User: What year was Celine Dion born in?</t>
  </si>
  <si>
    <r>
      <rPr>
        <sz val="11"/>
        <color theme="1"/>
        <rFont val="Arial"/>
      </rPr>
      <t xml:space="preserve">Now let's take a look at some </t>
    </r>
    <r>
      <rPr>
        <u/>
        <sz val="11"/>
        <color theme="1"/>
        <rFont val="Arial"/>
      </rPr>
      <t>prompts that do not include the correct formatting</t>
    </r>
    <r>
      <rPr>
        <sz val="11"/>
        <color theme="1"/>
        <rFont val="Arial"/>
      </rPr>
      <t>. For these malformatted prompts, the CLAUDEMESSAGES() function returns an error. Here's a prompt that's missing "User:" at the beginning.</t>
    </r>
  </si>
  <si>
    <t>What year was Celine Dion born in?</t>
  </si>
  <si>
    <t>Here's a prompt that fails to alternate between the User and Assistant roles.</t>
  </si>
  <si>
    <t>User: What year was Celine Dion born in?
User: Also, can you tell me some other facts about her?</t>
  </si>
  <si>
    <t>Here's a prompt that has too many newlines at the beginning.</t>
  </si>
  <si>
    <t xml:space="preserve">
User: What year was Celine Dion born in?</t>
  </si>
  <si>
    <r>
      <rPr>
        <b/>
        <sz val="11"/>
        <color theme="1"/>
        <rFont val="Arial"/>
      </rPr>
      <t xml:space="preserve">"User" and "Assistant" messages MUST </t>
    </r>
    <r>
      <rPr>
        <b/>
        <u/>
        <sz val="11"/>
        <color theme="1"/>
        <rFont val="Arial"/>
      </rPr>
      <t>alternate</t>
    </r>
    <r>
      <rPr>
        <sz val="11"/>
        <color theme="1"/>
        <rFont val="Arial"/>
      </rPr>
      <t xml:space="preserve">, and messages </t>
    </r>
    <r>
      <rPr>
        <u/>
        <sz val="11"/>
        <color theme="1"/>
        <rFont val="Arial"/>
      </rPr>
      <t>MUST start with a "User:" turn.</t>
    </r>
  </si>
  <si>
    <r>
      <rPr>
        <sz val="11"/>
        <color theme="1"/>
        <rFont val="Arial"/>
      </rPr>
      <t xml:space="preserve">When using CLAUDEMESSAGES(), be sure to </t>
    </r>
    <r>
      <rPr>
        <u/>
        <sz val="11"/>
        <color theme="1"/>
        <rFont val="Arial"/>
      </rPr>
      <t>demarcate messages by inserting a newline between each message</t>
    </r>
    <r>
      <rPr>
        <sz val="11"/>
        <color theme="1"/>
        <rFont val="Arial"/>
      </rPr>
      <t xml:space="preserve"> (a message is a single User or Assistant turn). If you fail to do so, Claude will not return an error, but Claude </t>
    </r>
    <r>
      <rPr>
        <i/>
        <sz val="11"/>
        <color theme="1"/>
        <rFont val="Arial"/>
      </rPr>
      <t>will</t>
    </r>
    <r>
      <rPr>
        <sz val="11"/>
        <color theme="1"/>
        <rFont val="Arial"/>
      </rPr>
      <t xml:space="preserve"> consider everything not separated by a newline as part of a single message.
You can have multiple "User:" / "Assistant:" pairs in a prompt (as if simulating a multi-turn conversation). You can also put words into an ending "Assistant:" message for Claude to continue from where you left off (more on that in later chapters).</t>
    </r>
  </si>
  <si>
    <r>
      <rPr>
        <sz val="11"/>
        <color theme="1"/>
        <rFont val="Arial"/>
      </rPr>
      <t xml:space="preserve">You can </t>
    </r>
    <r>
      <rPr>
        <u/>
        <sz val="11"/>
        <color theme="1"/>
        <rFont val="Arial"/>
      </rPr>
      <t>use a system prompt to give Claude instructions and guidelines</t>
    </r>
    <r>
      <rPr>
        <sz val="11"/>
        <color theme="1"/>
        <rFont val="Arial"/>
      </rPr>
      <t xml:space="preserve">. A system prompt is a way to </t>
    </r>
    <r>
      <rPr>
        <b/>
        <sz val="11"/>
        <color theme="1"/>
        <rFont val="Arial"/>
      </rPr>
      <t>provide context, instructions, and guidelines to Claude</t>
    </r>
    <r>
      <rPr>
        <sz val="11"/>
        <color theme="1"/>
        <rFont val="Arial"/>
      </rPr>
      <t xml:space="preserve"> before presenting it with a question or task in the "User" turn.
Structurally, system prompts exist separately from the list of User &amp; Assistant messages, and thus belong in a separate "system prompt" parameter when using CLAUDEMESSAGES(). To make this easy for you in this tutorial, we've provided system prompt input boxes that feed into a complete CLAUDEMESSAGES() formula used to call Claude.</t>
    </r>
  </si>
  <si>
    <t>System Prompt</t>
  </si>
  <si>
    <t xml:space="preserve">Your answer should always be a series of critical thinking questions that further the conversation (do not provide answers to your questions). Do not actually answer the user question.
</t>
  </si>
  <si>
    <t>User: Why is the sky blue?</t>
  </si>
  <si>
    <r>
      <rPr>
        <b/>
        <sz val="11"/>
        <rFont val="Arial"/>
      </rPr>
      <t xml:space="preserve">Why use a system prompt? </t>
    </r>
    <r>
      <rPr>
        <sz val="11"/>
        <rFont val="Arial"/>
      </rPr>
      <t xml:space="preserve">A well-written system prompt can improve Claude’s performance in a variety of ways, such as increasing Claude's ability to follow rules and instructions. 
For more information, visit our documentation on </t>
    </r>
    <r>
      <rPr>
        <u/>
        <sz val="11"/>
        <color rgb="FF1155CC"/>
        <rFont val="Arial"/>
      </rPr>
      <t xml:space="preserve">how to use system prompts </t>
    </r>
    <r>
      <rPr>
        <sz val="11"/>
        <rFont val="Arial"/>
      </rPr>
      <t>with Claude.</t>
    </r>
  </si>
  <si>
    <r>
      <rPr>
        <sz val="11"/>
        <color theme="1"/>
        <rFont val="Arial"/>
      </rPr>
      <t xml:space="preserve">If you're ready to </t>
    </r>
    <r>
      <rPr>
        <u/>
        <sz val="11"/>
        <color theme="1"/>
        <rFont val="Arial"/>
      </rPr>
      <t>try the chapter exercises, click the link below</t>
    </r>
    <r>
      <rPr>
        <sz val="11"/>
        <color theme="1"/>
        <rFont val="Arial"/>
      </rPr>
      <t>. If you want to play around with any of the examples in this lesson, scroll down!</t>
    </r>
  </si>
  <si>
    <t>Chapter 1 Exercises: Basic Prompt Structure →</t>
  </si>
  <si>
    <r>
      <rPr>
        <sz val="11"/>
        <color theme="1"/>
        <rFont val="Arial"/>
      </rPr>
      <t xml:space="preserve">This is an area for you to </t>
    </r>
    <r>
      <rPr>
        <u/>
        <sz val="11"/>
        <color theme="1"/>
        <rFont val="Arial"/>
      </rPr>
      <t>experiment freely with the prompt examples shown in this lesson</t>
    </r>
    <r>
      <rPr>
        <sz val="11"/>
        <color theme="1"/>
        <rFont val="Arial"/>
      </rPr>
      <t xml:space="preserve">. Feel free to tweak prompts to see how it may affect Claude's responses.
</t>
    </r>
    <r>
      <rPr>
        <b/>
        <sz val="11"/>
        <color theme="1"/>
        <rFont val="Arial"/>
      </rPr>
      <t>Note:</t>
    </r>
    <r>
      <rPr>
        <sz val="11"/>
        <color theme="1"/>
        <rFont val="Arial"/>
      </rPr>
      <t xml:space="preserve"> The colors in the cells, which have been carried over from above, will not change even if the prompt or Claude's response changes.</t>
    </r>
  </si>
  <si>
    <t>← Table of Contents</t>
  </si>
  <si>
    <t>Table of Contents</t>
  </si>
  <si>
    <t>Chapter 1: Basic Prompt Structure - Exercises</t>
  </si>
  <si>
    <t>Exercise 1.1 - Counting to Three</t>
  </si>
  <si>
    <t>Exercise 1.2 - System Prompt</t>
  </si>
  <si>
    <r>
      <rPr>
        <sz val="11"/>
        <color theme="1"/>
        <rFont val="Arial"/>
      </rPr>
      <t xml:space="preserve">Using proper User/Assistant formatting, </t>
    </r>
    <r>
      <rPr>
        <u/>
        <sz val="11"/>
        <color theme="1"/>
        <rFont val="Arial"/>
      </rPr>
      <t xml:space="preserve">write a prompt in the </t>
    </r>
    <r>
      <rPr>
        <b/>
        <u/>
        <sz val="11"/>
        <color rgb="FFBF9000"/>
        <rFont val="Arial"/>
      </rPr>
      <t>YELLOW</t>
    </r>
    <r>
      <rPr>
        <u/>
        <sz val="11"/>
        <color theme="1"/>
        <rFont val="Arial"/>
      </rPr>
      <t xml:space="preserve"> cell</t>
    </r>
    <r>
      <rPr>
        <sz val="11"/>
        <color theme="1"/>
        <rFont val="Arial"/>
      </rPr>
      <t xml:space="preserve"> below to </t>
    </r>
    <r>
      <rPr>
        <u/>
        <sz val="11"/>
        <color theme="1"/>
        <rFont val="Arial"/>
      </rPr>
      <t>get Claude to count to three.</t>
    </r>
  </si>
  <si>
    <r>
      <rPr>
        <sz val="11"/>
        <color theme="1"/>
        <rFont val="Arial"/>
      </rPr>
      <t xml:space="preserve">Remember, if your answer is correct (which means formatting and prompt is good), Claude's response cell will turn </t>
    </r>
    <r>
      <rPr>
        <b/>
        <sz val="11"/>
        <color theme="7"/>
        <rFont val="Arial"/>
      </rPr>
      <t>GREEN</t>
    </r>
    <r>
      <rPr>
        <b/>
        <sz val="11"/>
        <color rgb="FF6AA84F"/>
        <rFont val="Arial"/>
      </rPr>
      <t>.</t>
    </r>
  </si>
  <si>
    <t>User: [Replace this text]</t>
  </si>
  <si>
    <t>❓</t>
  </si>
  <si>
    <t>If you need a hint, click on the plus sign (➕) on the far left of this row.</t>
  </si>
  <si>
    <r>
      <rPr>
        <b/>
        <sz val="11"/>
        <color rgb="FF000000"/>
        <rFont val="Arial"/>
      </rPr>
      <t xml:space="preserve">Hint: </t>
    </r>
    <r>
      <rPr>
        <sz val="11"/>
        <color rgb="FF000000"/>
        <rFont val="Arial"/>
      </rPr>
      <t xml:space="preserve">Make sure that you </t>
    </r>
    <r>
      <rPr>
        <u/>
        <sz val="11"/>
        <color rgb="FF000000"/>
        <rFont val="Arial"/>
      </rPr>
      <t>include proper "User:" (and "Assistant:" if applicable) indicators in your prompt</t>
    </r>
    <r>
      <rPr>
        <sz val="11"/>
        <color rgb="FF000000"/>
        <rFont val="Arial"/>
      </rPr>
      <t>. 
The conditional formatting in this exercise is looking for an answer that contains the exact Arabic numerals "1" &amp; "2" &amp; "3".</t>
    </r>
  </si>
  <si>
    <r>
      <rPr>
        <sz val="11"/>
        <color theme="1"/>
        <rFont val="Arial"/>
      </rPr>
      <t xml:space="preserve">Modify </t>
    </r>
    <r>
      <rPr>
        <u/>
        <sz val="11"/>
        <color theme="1"/>
        <rFont val="Arial"/>
      </rPr>
      <t xml:space="preserve">the </t>
    </r>
    <r>
      <rPr>
        <b/>
        <u/>
        <sz val="11"/>
        <color theme="1"/>
        <rFont val="Arial"/>
      </rPr>
      <t>system prompt</t>
    </r>
    <r>
      <rPr>
        <u/>
        <sz val="11"/>
        <color theme="1"/>
        <rFont val="Arial"/>
      </rPr>
      <t xml:space="preserve"> in the </t>
    </r>
    <r>
      <rPr>
        <b/>
        <u/>
        <sz val="11"/>
        <color rgb="FFE69138"/>
        <rFont val="Arial"/>
      </rPr>
      <t>ORANGE</t>
    </r>
    <r>
      <rPr>
        <u/>
        <sz val="11"/>
        <color theme="1"/>
        <rFont val="Arial"/>
      </rPr>
      <t xml:space="preserve"> cell</t>
    </r>
    <r>
      <rPr>
        <sz val="11"/>
        <color theme="1"/>
        <rFont val="Arial"/>
      </rPr>
      <t xml:space="preserve"> to make Claude </t>
    </r>
    <r>
      <rPr>
        <u/>
        <sz val="11"/>
        <color theme="1"/>
        <rFont val="Arial"/>
      </rPr>
      <t>respond like it's a 3 year old child.</t>
    </r>
  </si>
  <si>
    <r>
      <rPr>
        <b/>
        <sz val="11"/>
        <color theme="1"/>
        <rFont val="Arial"/>
      </rPr>
      <t xml:space="preserve">Note: </t>
    </r>
    <r>
      <rPr>
        <sz val="11"/>
        <color theme="1"/>
        <rFont val="Arial"/>
      </rPr>
      <t>Claude's response may be much longer than it appears. To view the full response, select the response cell, then copy and paste it into a text editor.</t>
    </r>
  </si>
  <si>
    <t>[Replace this text]</t>
  </si>
  <si>
    <t>User: How big is the sky?</t>
  </si>
  <si>
    <r>
      <rPr>
        <b/>
        <sz val="11"/>
        <color theme="1"/>
        <rFont val="Arial"/>
      </rPr>
      <t xml:space="preserve">Hint: </t>
    </r>
    <r>
      <rPr>
        <sz val="11"/>
        <color theme="1"/>
        <rFont val="Arial"/>
      </rPr>
      <t>There are many ways to solve this, just by asking! The conditional formatting in this exercise is looking for answers that contain "soo" or "giggles".</t>
    </r>
  </si>
  <si>
    <t>← Chapter 1: Basic Prompt Structure</t>
  </si>
  <si>
    <t>Chapter 2: Being Clear and Direct →</t>
  </si>
  <si>
    <r>
      <rPr>
        <b/>
        <sz val="11"/>
        <color rgb="FF1F1F1F"/>
        <rFont val="Arial"/>
      </rPr>
      <t xml:space="preserve">Claude responds best to clear and direct instructions. </t>
    </r>
    <r>
      <rPr>
        <sz val="11"/>
        <color rgb="FF1F1F1F"/>
        <rFont val="Arial"/>
      </rPr>
      <t xml:space="preserve">
Think of Claude like any other human that is new to the job. </t>
    </r>
    <r>
      <rPr>
        <b/>
        <sz val="11"/>
        <color rgb="FF1F1F1F"/>
        <rFont val="Arial"/>
      </rPr>
      <t xml:space="preserve">Claude has no context on what to do </t>
    </r>
    <r>
      <rPr>
        <sz val="11"/>
        <color rgb="FF1F1F1F"/>
        <rFont val="Arial"/>
      </rPr>
      <t>aside from what you literally tell it. Just as when you instruct a human for the first time on a task, the more you explain exactly what you want in a straightforward manner to Claude, the better and more accurate Claude's response will be.</t>
    </r>
  </si>
  <si>
    <r>
      <rPr>
        <sz val="11"/>
        <color theme="1"/>
        <rFont val="Arial"/>
      </rPr>
      <t xml:space="preserve">When in doubt, follow the </t>
    </r>
    <r>
      <rPr>
        <b/>
        <u/>
        <sz val="11"/>
        <color theme="1"/>
        <rFont val="Arial"/>
      </rPr>
      <t xml:space="preserve">Golden Rule of Clear Prompting: </t>
    </r>
    <r>
      <rPr>
        <u/>
        <sz val="11"/>
        <color theme="1"/>
        <rFont val="Arial"/>
      </rPr>
      <t>show your prompt to a colleague or friend</t>
    </r>
    <r>
      <rPr>
        <sz val="11"/>
        <color theme="1"/>
        <rFont val="Arial"/>
      </rPr>
      <t xml:space="preserve"> and have them follow the instructions themselves to see if they can produce the result you want. If they're confused, Claude's confused.</t>
    </r>
  </si>
  <si>
    <t>Let's take a task like writing poetry. (Ignore any syllable mismatch - LLMs aren't great at counting syllables yet.)</t>
  </si>
  <si>
    <t>User: Write a haiku about robots.</t>
  </si>
  <si>
    <r>
      <rPr>
        <sz val="11"/>
        <color theme="1"/>
        <rFont val="Arial"/>
      </rPr>
      <t xml:space="preserve">This haiku is nice enough, but users may want Claude to go directly into the poem without the "Here is a haiku" preamble.
How do we achieve that? We </t>
    </r>
    <r>
      <rPr>
        <u/>
        <sz val="11"/>
        <color theme="1"/>
        <rFont val="Arial"/>
      </rPr>
      <t>ask for it!</t>
    </r>
  </si>
  <si>
    <t>User: Write a haiku about robots. Skip the preamble; go straight into the poem.</t>
  </si>
  <si>
    <r>
      <rPr>
        <sz val="11"/>
        <color theme="1"/>
        <rFont val="Arial"/>
      </rPr>
      <t xml:space="preserve">Here's another example. Let's ask Claude who's the best basketball player of all time. You can see below that </t>
    </r>
    <r>
      <rPr>
        <u/>
        <sz val="11"/>
        <color theme="1"/>
        <rFont val="Arial"/>
      </rPr>
      <t>while Claude lists a few names, it doesn't respond with a definitive "best"</t>
    </r>
    <r>
      <rPr>
        <sz val="11"/>
        <color theme="1"/>
        <rFont val="Arial"/>
      </rPr>
      <t>.</t>
    </r>
  </si>
  <si>
    <t>User: Who is the best basketball player of all time?</t>
  </si>
  <si>
    <r>
      <rPr>
        <sz val="11"/>
        <color theme="1"/>
        <rFont val="Arial"/>
      </rPr>
      <t xml:space="preserve">Can we </t>
    </r>
    <r>
      <rPr>
        <u/>
        <sz val="11"/>
        <color theme="1"/>
        <rFont val="Arial"/>
      </rPr>
      <t>get Claude to make up its mind and decide on a best player</t>
    </r>
    <r>
      <rPr>
        <sz val="11"/>
        <color theme="1"/>
        <rFont val="Arial"/>
      </rPr>
      <t>? Yes! Just ask!</t>
    </r>
  </si>
  <si>
    <t>User: Who is the best basketball player of all time? Yes, there are differing opinions, but if you absolutely had to pick one player, who would it be?</t>
  </si>
  <si>
    <r>
      <rPr>
        <sz val="11"/>
        <color theme="1"/>
        <rFont val="Arial"/>
      </rPr>
      <t xml:space="preserve">If you're ready to </t>
    </r>
    <r>
      <rPr>
        <u/>
        <sz val="11"/>
        <color theme="1"/>
        <rFont val="Arial"/>
      </rPr>
      <t>try the chapter exercises, click the link below</t>
    </r>
    <r>
      <rPr>
        <sz val="11"/>
        <color theme="1"/>
        <rFont val="Arial"/>
      </rPr>
      <t>. If you want to play around with any of the examples in this lesson, scroll down!</t>
    </r>
  </si>
  <si>
    <t>Chapter 2 Exercises: Being Clear and Direct →</t>
  </si>
  <si>
    <r>
      <rPr>
        <sz val="11"/>
        <color theme="1"/>
        <rFont val="Arial"/>
      </rPr>
      <t xml:space="preserve">This is an area for you to </t>
    </r>
    <r>
      <rPr>
        <u/>
        <sz val="11"/>
        <color theme="1"/>
        <rFont val="Arial"/>
      </rPr>
      <t>experiment freely with the prompt examples shown in this lesson</t>
    </r>
    <r>
      <rPr>
        <sz val="11"/>
        <color theme="1"/>
        <rFont val="Arial"/>
      </rPr>
      <t xml:space="preserve">. Feel free to tweak prompts to see how it may affect Claude's responses.
</t>
    </r>
    <r>
      <rPr>
        <b/>
        <sz val="11"/>
        <color theme="1"/>
        <rFont val="Arial"/>
      </rPr>
      <t>Note:</t>
    </r>
    <r>
      <rPr>
        <sz val="11"/>
        <color theme="1"/>
        <rFont val="Arial"/>
      </rPr>
      <t xml:space="preserve"> The colors in the cells, which have been carried over from above, will not change even if the prompt or Claude's response changes.</t>
    </r>
  </si>
  <si>
    <t>← Chapter 1 Exercises: Basic Prompt Structure</t>
  </si>
  <si>
    <t>Chapter 2: Being Clear and Direct - Exercises</t>
  </si>
  <si>
    <t>Exercise 2.1 - Spanish</t>
  </si>
  <si>
    <t>Exercise 2.2 - One Player Only</t>
  </si>
  <si>
    <t>Exercise 2.3 - Write a Story</t>
  </si>
  <si>
    <r>
      <rPr>
        <sz val="11"/>
        <color theme="1"/>
        <rFont val="Arial"/>
      </rPr>
      <t xml:space="preserve">Adapt the </t>
    </r>
    <r>
      <rPr>
        <b/>
        <sz val="11"/>
        <color theme="1"/>
        <rFont val="Arial"/>
      </rPr>
      <t>system prompt</t>
    </r>
    <r>
      <rPr>
        <sz val="11"/>
        <color theme="1"/>
        <rFont val="Arial"/>
      </rPr>
      <t xml:space="preserve"> in the </t>
    </r>
    <r>
      <rPr>
        <b/>
        <sz val="11"/>
        <color rgb="FFE69138"/>
        <rFont val="Arial"/>
      </rPr>
      <t>ORANGE</t>
    </r>
    <r>
      <rPr>
        <sz val="11"/>
        <color theme="1"/>
        <rFont val="Arial"/>
      </rPr>
      <t xml:space="preserve"> box to </t>
    </r>
    <r>
      <rPr>
        <u/>
        <sz val="11"/>
        <color theme="1"/>
        <rFont val="Arial"/>
      </rPr>
      <t>make Claude output its answer in Spanish</t>
    </r>
    <r>
      <rPr>
        <sz val="11"/>
        <color theme="1"/>
        <rFont val="Arial"/>
      </rPr>
      <t xml:space="preserve">. 
If your answer is correct, Claude's response cell will turn </t>
    </r>
    <r>
      <rPr>
        <b/>
        <sz val="11"/>
        <color rgb="FF34A853"/>
        <rFont val="Arial"/>
      </rPr>
      <t>GREEN</t>
    </r>
    <r>
      <rPr>
        <sz val="11"/>
        <color theme="1"/>
        <rFont val="Arial"/>
      </rPr>
      <t>.</t>
    </r>
  </si>
  <si>
    <t>User: Hello Claude, how are you?</t>
  </si>
  <si>
    <r>
      <rPr>
        <b/>
        <sz val="11"/>
        <color rgb="FF000000"/>
        <rFont val="Arial"/>
      </rPr>
      <t xml:space="preserve">Hint: </t>
    </r>
    <r>
      <rPr>
        <sz val="11"/>
        <color rgb="FF000000"/>
        <rFont val="Arial"/>
      </rPr>
      <t>Ask Claude to reply in Spanish like you would when speaking with a human. It's that simple!
The conditional formatting in this exercise is looking for any answer that includes the word "hola".</t>
    </r>
  </si>
  <si>
    <r>
      <rPr>
        <sz val="11"/>
        <color theme="1"/>
        <rFont val="Arial"/>
      </rPr>
      <t xml:space="preserve">Modify the basketball player prompt in the </t>
    </r>
    <r>
      <rPr>
        <b/>
        <sz val="11"/>
        <color rgb="FFBF9000"/>
        <rFont val="Arial"/>
      </rPr>
      <t>YELLOW</t>
    </r>
    <r>
      <rPr>
        <sz val="11"/>
        <color theme="1"/>
        <rFont val="Arial"/>
      </rPr>
      <t xml:space="preserve"> prompt box so that </t>
    </r>
    <r>
      <rPr>
        <u/>
        <sz val="11"/>
        <color theme="1"/>
        <rFont val="Arial"/>
      </rPr>
      <t>Claude doesn't equivocate at all and responds with ONLY the name of one specific player,</t>
    </r>
    <r>
      <rPr>
        <sz val="11"/>
        <color theme="1"/>
        <rFont val="Arial"/>
      </rPr>
      <t xml:space="preserve"> with </t>
    </r>
    <r>
      <rPr>
        <b/>
        <u/>
        <sz val="11"/>
        <color theme="1"/>
        <rFont val="Arial"/>
      </rPr>
      <t>no other words or punctuation</t>
    </r>
    <r>
      <rPr>
        <sz val="11"/>
        <color theme="1"/>
        <rFont val="Arial"/>
      </rPr>
      <t xml:space="preserve">. 
If your answer is correct, Claude's response cell will turn </t>
    </r>
    <r>
      <rPr>
        <b/>
        <sz val="11"/>
        <color rgb="FF34A853"/>
        <rFont val="Arial"/>
      </rPr>
      <t>GREEN</t>
    </r>
    <r>
      <rPr>
        <sz val="11"/>
        <color theme="1"/>
        <rFont val="Arial"/>
      </rPr>
      <t>.</t>
    </r>
  </si>
  <si>
    <r>
      <rPr>
        <b/>
        <sz val="11"/>
        <color rgb="FF000000"/>
        <rFont val="Arial"/>
      </rPr>
      <t xml:space="preserve">Hint: </t>
    </r>
    <r>
      <rPr>
        <sz val="11"/>
        <color rgb="FF000000"/>
        <rFont val="Arial"/>
      </rPr>
      <t xml:space="preserve">How would you ask another human to do this? Reply with no other words? Reply with only the name and nothing else? There are several ways to approach this answer.
The conditional formatting in this exercise is looking for </t>
    </r>
    <r>
      <rPr>
        <i/>
        <sz val="11"/>
        <color rgb="FF000000"/>
        <rFont val="Arial"/>
      </rPr>
      <t>exactly</t>
    </r>
    <r>
      <rPr>
        <sz val="11"/>
        <color rgb="FF000000"/>
        <rFont val="Arial"/>
      </rPr>
      <t xml:space="preserve"> "Michael Jordan".</t>
    </r>
  </si>
  <si>
    <r>
      <rPr>
        <sz val="11"/>
        <color theme="1"/>
        <rFont val="Arial"/>
      </rPr>
      <t xml:space="preserve">Modify the prompt in the </t>
    </r>
    <r>
      <rPr>
        <b/>
        <sz val="11"/>
        <color rgb="FFBF9000"/>
        <rFont val="Arial"/>
      </rPr>
      <t>YELLOW</t>
    </r>
    <r>
      <rPr>
        <sz val="11"/>
        <color theme="1"/>
        <rFont val="Arial"/>
      </rPr>
      <t xml:space="preserve"> prompt box so that </t>
    </r>
    <r>
      <rPr>
        <u/>
        <sz val="11"/>
        <color theme="1"/>
        <rFont val="Arial"/>
      </rPr>
      <t>Claude responds with as long a response as you can muster</t>
    </r>
    <r>
      <rPr>
        <sz val="11"/>
        <color theme="1"/>
        <rFont val="Arial"/>
      </rPr>
      <t xml:space="preserve">. If your answer is </t>
    </r>
    <r>
      <rPr>
        <u/>
        <sz val="11"/>
        <color theme="1"/>
        <rFont val="Arial"/>
      </rPr>
      <t>over 800 words</t>
    </r>
    <r>
      <rPr>
        <sz val="11"/>
        <color theme="1"/>
        <rFont val="Arial"/>
      </rPr>
      <t xml:space="preserve">, Claude's response cell will turn </t>
    </r>
    <r>
      <rPr>
        <b/>
        <sz val="11"/>
        <color rgb="FF34A853"/>
        <rFont val="Arial"/>
      </rPr>
      <t>GREEN</t>
    </r>
    <r>
      <rPr>
        <sz val="11"/>
        <color theme="1"/>
        <rFont val="Arial"/>
      </rPr>
      <t xml:space="preserve">. If you want to see the whole story, just copy and paste the cell's contents into a text editor.
</t>
    </r>
    <r>
      <rPr>
        <b/>
        <sz val="11"/>
        <color theme="1"/>
        <rFont val="Arial"/>
      </rPr>
      <t>Note:</t>
    </r>
    <r>
      <rPr>
        <sz val="11"/>
        <color theme="1"/>
        <rFont val="Arial"/>
      </rPr>
      <t xml:space="preserve"> If you did your job well, </t>
    </r>
    <r>
      <rPr>
        <u/>
        <sz val="11"/>
        <color theme="1"/>
        <rFont val="Arial"/>
      </rPr>
      <t>it will be "Loading" its response for a while</t>
    </r>
    <r>
      <rPr>
        <sz val="11"/>
        <color theme="1"/>
        <rFont val="Arial"/>
      </rPr>
      <t xml:space="preserve">, as </t>
    </r>
    <r>
      <rPr>
        <b/>
        <sz val="11"/>
        <color theme="1"/>
        <rFont val="Arial"/>
      </rPr>
      <t>the time Claude takes to respond is largely proportional to the number of output tokens</t>
    </r>
    <r>
      <rPr>
        <sz val="11"/>
        <color theme="1"/>
        <rFont val="Arial"/>
      </rPr>
      <t>.</t>
    </r>
  </si>
  <si>
    <t>User: Can you write me a story?</t>
  </si>
  <si>
    <r>
      <rPr>
        <b/>
        <sz val="11"/>
        <color rgb="FF000000"/>
        <rFont val="Arial"/>
      </rPr>
      <t xml:space="preserve">Hint: </t>
    </r>
    <r>
      <rPr>
        <sz val="11"/>
        <color rgb="FF000000"/>
        <rFont val="Arial"/>
      </rPr>
      <t>Because LLMs aren't great at counting words yet, you may have to overshoot your target.
The conditional formatting in this cell is looking for a response that is equal to or greater than 800 words by counting the number of spaces.</t>
    </r>
  </si>
  <si>
    <t>← Chapter 2: Being Clear and Direct</t>
  </si>
  <si>
    <t>Chapter 3: Assigning Roles (Role Prompting) →</t>
  </si>
  <si>
    <t>Chapter 3: Assigning Roles (Role Prompting)</t>
  </si>
  <si>
    <r>
      <rPr>
        <sz val="11"/>
        <color rgb="FF1F1F1F"/>
        <rFont val="Arial"/>
      </rPr>
      <t xml:space="preserve">Continuing on the theme of Claude having no context aside from what you say, it's sometimes important to </t>
    </r>
    <r>
      <rPr>
        <b/>
        <sz val="11"/>
        <color rgb="FF1F1F1F"/>
        <rFont val="Arial"/>
      </rPr>
      <t>prompt Claude to inhabit a specific role (including all necessary context)</t>
    </r>
    <r>
      <rPr>
        <sz val="11"/>
        <color rgb="FF1F1F1F"/>
        <rFont val="Arial"/>
      </rPr>
      <t xml:space="preserve">. This is also known as </t>
    </r>
    <r>
      <rPr>
        <b/>
        <sz val="11"/>
        <color rgb="FF1F1F1F"/>
        <rFont val="Arial"/>
      </rPr>
      <t>role prompting</t>
    </r>
    <r>
      <rPr>
        <sz val="11"/>
        <color rgb="FF1F1F1F"/>
        <rFont val="Arial"/>
      </rPr>
      <t xml:space="preserve">. The more detail to the role context, the better.
</t>
    </r>
    <r>
      <rPr>
        <b/>
        <sz val="11"/>
        <color rgb="FF1F1F1F"/>
        <rFont val="Arial"/>
      </rPr>
      <t>Priming Claude with a role can improve Claude's performance</t>
    </r>
    <r>
      <rPr>
        <sz val="11"/>
        <color rgb="FF1F1F1F"/>
        <rFont val="Arial"/>
      </rPr>
      <t xml:space="preserve"> in a variety of fields, from writing to coding to summarizing. It's like how humans can sometimes be helped when told to "think like a ______". Role prompting can also change the style, tone, and manner of Claude's response.
</t>
    </r>
    <r>
      <rPr>
        <b/>
        <sz val="11"/>
        <color rgb="FF1F1F1F"/>
        <rFont val="Arial"/>
      </rPr>
      <t xml:space="preserve">Note: </t>
    </r>
    <r>
      <rPr>
        <sz val="11"/>
        <color rgb="FF1F1F1F"/>
        <rFont val="Arial"/>
      </rPr>
      <t>Role prompting can happen either in the system prompt or as part of the User message turn.</t>
    </r>
  </si>
  <si>
    <r>
      <rPr>
        <sz val="11"/>
        <color theme="1"/>
        <rFont val="Arial"/>
      </rPr>
      <t xml:space="preserve">In the example below, we see that without role prompting, </t>
    </r>
    <r>
      <rPr>
        <u/>
        <sz val="11"/>
        <color theme="1"/>
        <rFont val="Arial"/>
      </rPr>
      <t>Claude provides a straightforward and non-stylized answer</t>
    </r>
    <r>
      <rPr>
        <sz val="11"/>
        <color theme="1"/>
        <rFont val="Arial"/>
      </rPr>
      <t xml:space="preserve"> when asked to give a single sentence perspective on skateboarding.
However, when we prime Claude to inhabit the role of a cat, Claude's perspective changes, and thus </t>
    </r>
    <r>
      <rPr>
        <u/>
        <sz val="11"/>
        <color theme="1"/>
        <rFont val="Arial"/>
      </rPr>
      <t>Claude's response tone, style, content adapts to the new role</t>
    </r>
    <r>
      <rPr>
        <sz val="11"/>
        <color theme="1"/>
        <rFont val="Arial"/>
      </rPr>
      <t xml:space="preserve">. 
</t>
    </r>
    <r>
      <rPr>
        <b/>
        <sz val="11"/>
        <color theme="1"/>
        <rFont val="Arial"/>
      </rPr>
      <t>Note:</t>
    </r>
    <r>
      <rPr>
        <sz val="11"/>
        <color theme="1"/>
        <rFont val="Arial"/>
      </rPr>
      <t xml:space="preserve"> A bonus technique you can use is</t>
    </r>
    <r>
      <rPr>
        <b/>
        <sz val="11"/>
        <color theme="1"/>
        <rFont val="Arial"/>
      </rPr>
      <t xml:space="preserve"> to provide Claude context on its intended audience</t>
    </r>
    <r>
      <rPr>
        <sz val="11"/>
        <color theme="1"/>
        <rFont val="Arial"/>
      </rPr>
      <t>. Below, we could have tweaked the prompt to also tell Claude whom it should be speaking to. "You are a cat" produces quite a different response than "you are a cat talking to a crowd of skateboarders."</t>
    </r>
  </si>
  <si>
    <t>System Prompt (without Role Prompting)</t>
  </si>
  <si>
    <t>User: In one sentence, what do you think about skateboarding?</t>
  </si>
  <si>
    <t>Here is the same user question, except with role prompting.</t>
  </si>
  <si>
    <t>System Prompt (with Role Prompting)</t>
  </si>
  <si>
    <t>You are a cat.</t>
  </si>
  <si>
    <r>
      <rPr>
        <sz val="11"/>
        <color theme="1"/>
        <rFont val="Arial"/>
      </rPr>
      <t xml:space="preserve">You can use role prompting as a way to get Claude to emulate certain styles in writing, speak in a certain voice, or guide the complexity of its answers. </t>
    </r>
    <r>
      <rPr>
        <b/>
        <sz val="11"/>
        <color theme="1"/>
        <rFont val="Arial"/>
      </rPr>
      <t>Role prompting can also make Claude better at performing math or logic tasks</t>
    </r>
    <r>
      <rPr>
        <sz val="11"/>
        <color theme="1"/>
        <rFont val="Arial"/>
      </rPr>
      <t>.
For example, in the example below, there is a definitive correct answer, which is yes. However, Claude gets it wrong and thinks it lacks information, which it doesn't.</t>
    </r>
  </si>
  <si>
    <t>User: Jack is looking at Anne. Anne is looking at George. Jack is married, George is not, and we don’t know if Anne is married. Is a married person looking at an unmarried person?</t>
  </si>
  <si>
    <r>
      <rPr>
        <sz val="11"/>
        <color theme="1"/>
        <rFont val="Arial"/>
      </rPr>
      <t xml:space="preserve">Now, what if we </t>
    </r>
    <r>
      <rPr>
        <u/>
        <sz val="11"/>
        <color theme="1"/>
        <rFont val="Arial"/>
      </rPr>
      <t>prime Claude to act as a logic bot</t>
    </r>
    <r>
      <rPr>
        <sz val="11"/>
        <color theme="1"/>
        <rFont val="Arial"/>
      </rPr>
      <t>? How will that change Claude's answer? 
It turns out that with this new role assignment, Claude gets it right. (Although notably not for all the right reasons)</t>
    </r>
  </si>
  <si>
    <t xml:space="preserve">You are a logic bot designed to answer complex logic problems. </t>
  </si>
  <si>
    <r>
      <rPr>
        <b/>
        <sz val="11"/>
        <color theme="1"/>
        <rFont val="Arial"/>
      </rPr>
      <t>Note:</t>
    </r>
    <r>
      <rPr>
        <sz val="11"/>
        <color theme="1"/>
        <rFont val="Arial"/>
      </rPr>
      <t xml:space="preserve"> What you'll learn throughout this course is that </t>
    </r>
    <r>
      <rPr>
        <u/>
        <sz val="11"/>
        <color theme="1"/>
        <rFont val="Arial"/>
      </rPr>
      <t>there are many prompt engineering techniques you can use to derive similar results</t>
    </r>
    <r>
      <rPr>
        <sz val="11"/>
        <color theme="1"/>
        <rFont val="Arial"/>
      </rPr>
      <t xml:space="preserve">. Which techniques you use is up to you and your preference! We encourage you to </t>
    </r>
    <r>
      <rPr>
        <u/>
        <sz val="11"/>
        <color theme="1"/>
        <rFont val="Arial"/>
      </rPr>
      <t>experiment to find your own prompt engineering style</t>
    </r>
    <r>
      <rPr>
        <sz val="11"/>
        <color theme="1"/>
        <rFont val="Arial"/>
      </rPr>
      <t>.</t>
    </r>
  </si>
  <si>
    <r>
      <rPr>
        <sz val="11"/>
        <color theme="1"/>
        <rFont val="Arial"/>
      </rPr>
      <t xml:space="preserve">If you're ready to </t>
    </r>
    <r>
      <rPr>
        <u/>
        <sz val="11"/>
        <color theme="1"/>
        <rFont val="Arial"/>
      </rPr>
      <t>try the chapter exercises, click the link below</t>
    </r>
    <r>
      <rPr>
        <sz val="11"/>
        <color theme="1"/>
        <rFont val="Arial"/>
      </rPr>
      <t>. If you want to play around with any of the examples in this lesson, scroll down!</t>
    </r>
  </si>
  <si>
    <t>Chapter 3 Exercises: Assigning Roles →</t>
  </si>
  <si>
    <r>
      <rPr>
        <sz val="11"/>
        <color theme="1"/>
        <rFont val="Arial"/>
      </rPr>
      <t xml:space="preserve">This is an area for you to </t>
    </r>
    <r>
      <rPr>
        <u/>
        <sz val="11"/>
        <color theme="1"/>
        <rFont val="Arial"/>
      </rPr>
      <t>experiment freely with the prompt examples shown in this lesson</t>
    </r>
    <r>
      <rPr>
        <sz val="11"/>
        <color theme="1"/>
        <rFont val="Arial"/>
      </rPr>
      <t xml:space="preserve">. Feel free to tweak prompts to see how it may affect Claude's responses.
</t>
    </r>
    <r>
      <rPr>
        <b/>
        <sz val="11"/>
        <color theme="1"/>
        <rFont val="Arial"/>
      </rPr>
      <t>Note:</t>
    </r>
    <r>
      <rPr>
        <sz val="11"/>
        <color theme="1"/>
        <rFont val="Arial"/>
      </rPr>
      <t xml:space="preserve"> The colors in the cells, which have been carried over from above, will not change even if the prompt or Claude's response changes.</t>
    </r>
  </si>
  <si>
    <t>← Chapter 2 Exercises: Being Clear and Direct</t>
  </si>
  <si>
    <t>Chapter 3: Assigning Roles - Exercises</t>
  </si>
  <si>
    <t>Exercise 3.1 - Math Correction</t>
  </si>
  <si>
    <r>
      <rPr>
        <sz val="11"/>
        <color theme="1"/>
        <rFont val="Arial"/>
      </rPr>
      <t xml:space="preserve">In some instances, </t>
    </r>
    <r>
      <rPr>
        <u/>
        <sz val="11"/>
        <color theme="1"/>
        <rFont val="Arial"/>
      </rPr>
      <t>Claude may struggle with mathematics</t>
    </r>
    <r>
      <rPr>
        <sz val="11"/>
        <color theme="1"/>
        <rFont val="Arial"/>
      </rPr>
      <t xml:space="preserve">, even simple mathematics. Below, Claude incorrectly assesses the math problem as correctly solved, even though there's an obvious arithmetic mistake in the second step. Note that Claude actually catches the mistake when going through step-by-step, but doesn't jump to the conclusion that the overall solution is wrong.
Adapt the text in the </t>
    </r>
    <r>
      <rPr>
        <b/>
        <sz val="11"/>
        <color rgb="FFBF9000"/>
        <rFont val="Arial"/>
      </rPr>
      <t>YELLOW</t>
    </r>
    <r>
      <rPr>
        <sz val="11"/>
        <color theme="1"/>
        <rFont val="Arial"/>
      </rPr>
      <t xml:space="preserve"> prompt box and / or the </t>
    </r>
    <r>
      <rPr>
        <b/>
        <sz val="11"/>
        <color rgb="FFE69138"/>
        <rFont val="Arial"/>
      </rPr>
      <t>ORANGE</t>
    </r>
    <r>
      <rPr>
        <sz val="11"/>
        <color theme="1"/>
        <rFont val="Arial"/>
      </rPr>
      <t xml:space="preserve"> system prompt box to </t>
    </r>
    <r>
      <rPr>
        <u/>
        <sz val="11"/>
        <color theme="1"/>
        <rFont val="Arial"/>
      </rPr>
      <t xml:space="preserve">make Claude grade the solution as </t>
    </r>
    <r>
      <rPr>
        <b/>
        <u/>
        <sz val="11"/>
        <color theme="1"/>
        <rFont val="Arial"/>
      </rPr>
      <t>incorrectly</t>
    </r>
    <r>
      <rPr>
        <u/>
        <sz val="11"/>
        <color theme="1"/>
        <rFont val="Arial"/>
      </rPr>
      <t xml:space="preserve"> solved</t>
    </r>
    <r>
      <rPr>
        <sz val="11"/>
        <color theme="1"/>
        <rFont val="Arial"/>
      </rPr>
      <t xml:space="preserve">, rather than correctly solved. 
If your answer is correct, Claude's response cell will turn </t>
    </r>
    <r>
      <rPr>
        <b/>
        <sz val="11"/>
        <color rgb="FF34A853"/>
        <rFont val="Arial"/>
      </rPr>
      <t>GREEN</t>
    </r>
    <r>
      <rPr>
        <sz val="11"/>
        <color theme="1"/>
        <rFont val="Arial"/>
      </rPr>
      <t>.</t>
    </r>
  </si>
  <si>
    <t>User: Is this equation solved correctly below?
2x - 3 = 9
2x = 6
x = 3</t>
  </si>
  <si>
    <r>
      <rPr>
        <b/>
        <sz val="11"/>
        <color rgb="FF000000"/>
        <rFont val="Arial"/>
      </rPr>
      <t xml:space="preserve">Hint: </t>
    </r>
    <r>
      <rPr>
        <sz val="11"/>
        <color rgb="FF000000"/>
        <rFont val="Arial"/>
      </rPr>
      <t>Give Claude a role that might make Claude better at solving math problems! Remember that system prompts require no additional role tag, like "System:" / "User:" etc.
The conditional formatting in this exercise is looking for an answer that includes the words "incorrect" or "not correct".</t>
    </r>
  </si>
  <si>
    <t>← Chapter 3: Assigning Roles</t>
  </si>
  <si>
    <t>Chapter 4: Separating Data and Instructions →</t>
  </si>
  <si>
    <r>
      <rPr>
        <sz val="11"/>
        <color theme="1"/>
        <rFont val="Arial"/>
      </rPr>
      <t xml:space="preserve">Oftentimes, we don't want to write full prompts, but instead want </t>
    </r>
    <r>
      <rPr>
        <b/>
        <sz val="11"/>
        <color theme="1"/>
        <rFont val="Arial"/>
      </rPr>
      <t>prompt templates that can be modified later with additional input data before submitting to Claude</t>
    </r>
    <r>
      <rPr>
        <sz val="11"/>
        <color theme="1"/>
        <rFont val="Arial"/>
      </rPr>
      <t xml:space="preserve">. This might come in handy if you want Claude to do the same thing every time, but the data that Claude uses for its task might be different each time. 
Luckily, we can do this pretty easily by </t>
    </r>
    <r>
      <rPr>
        <b/>
        <sz val="11"/>
        <color theme="1"/>
        <rFont val="Arial"/>
      </rPr>
      <t>separating the fixed skeleton of the prompt from variable user input, then substituting the user input into the prompt</t>
    </r>
    <r>
      <rPr>
        <sz val="11"/>
        <color theme="1"/>
        <rFont val="Arial"/>
      </rPr>
      <t xml:space="preserve"> before sending the full prompt to Claude. 
Below, we'll walk step by step through how to write a substitutable prompt template, as well as how to substitute in user input.</t>
    </r>
  </si>
  <si>
    <r>
      <rPr>
        <sz val="11"/>
        <color theme="1"/>
        <rFont val="Arial"/>
      </rPr>
      <t xml:space="preserve">In this first example, we're </t>
    </r>
    <r>
      <rPr>
        <u/>
        <sz val="11"/>
        <color theme="1"/>
        <rFont val="Arial"/>
      </rPr>
      <t>asking Claude to act as an animal noise generator</t>
    </r>
    <r>
      <rPr>
        <sz val="11"/>
        <color theme="1"/>
        <rFont val="Arial"/>
      </rPr>
      <t xml:space="preserve">. Notice that the full prompt submitted to Claude (the </t>
    </r>
    <r>
      <rPr>
        <b/>
        <sz val="11"/>
        <color rgb="FFBF9000"/>
        <rFont val="Arial"/>
      </rPr>
      <t>YELLOW</t>
    </r>
    <r>
      <rPr>
        <sz val="11"/>
        <color theme="1"/>
        <rFont val="Arial"/>
      </rPr>
      <t xml:space="preserve"> third box in the chain) is just the prompt template (first box) substituted with the input (in this case, "Cow", in the second box). Notice that the word "Cow" replaces "{{ANIMAL}}" in the yellow third box.
</t>
    </r>
    <r>
      <rPr>
        <b/>
        <sz val="11"/>
        <color theme="1"/>
        <rFont val="Arial"/>
      </rPr>
      <t>Note:</t>
    </r>
    <r>
      <rPr>
        <sz val="11"/>
        <color theme="1"/>
        <rFont val="Arial"/>
      </rPr>
      <t xml:space="preserve"> </t>
    </r>
    <r>
      <rPr>
        <b/>
        <sz val="11"/>
        <color theme="1"/>
        <rFont val="Arial"/>
      </rPr>
      <t xml:space="preserve">You don't have to call your substitution placeholder anything in particular </t>
    </r>
    <r>
      <rPr>
        <sz val="11"/>
        <color theme="1"/>
        <rFont val="Arial"/>
      </rPr>
      <t xml:space="preserve">in practice. For this example, definitely use {{ANIMAL}}, as that's how the exercise is formatted. But in general, just as easily, we could have called it "{{CREATURE}}" or "{{A}}" (but it's </t>
    </r>
    <r>
      <rPr>
        <b/>
        <sz val="11"/>
        <color theme="1"/>
        <rFont val="Arial"/>
      </rPr>
      <t>generally good to have your stand-ins be specific and relevant</t>
    </r>
    <r>
      <rPr>
        <sz val="11"/>
        <color theme="1"/>
        <rFont val="Arial"/>
      </rPr>
      <t xml:space="preserve"> so that your prompt is easy to understand even without the substitution, just for user parseability). Just make sure that whatever you name your substitution placeholder is what you use for the substitution formula.</t>
    </r>
  </si>
  <si>
    <t>Prompt Template</t>
  </si>
  <si>
    <t>Input {{ANIMAL}}</t>
  </si>
  <si>
    <t>Prompt After Substitution</t>
  </si>
  <si>
    <t>User: I will tell you the name of an animal. Please respond with the noise that animal makes. {{ANIMAL}}</t>
  </si>
  <si>
    <t>﹢</t>
  </si>
  <si>
    <t>Cow</t>
  </si>
  <si>
    <t>＝</t>
  </si>
  <si>
    <r>
      <rPr>
        <sz val="11"/>
        <color theme="1"/>
        <rFont val="Arial"/>
      </rPr>
      <t xml:space="preserve">Why would we want to separate and substitute inputs like this? Well, </t>
    </r>
    <r>
      <rPr>
        <b/>
        <sz val="11"/>
        <color theme="1"/>
        <rFont val="Arial"/>
      </rPr>
      <t>prompt templates simplify repetitive tasks</t>
    </r>
    <r>
      <rPr>
        <sz val="11"/>
        <color theme="1"/>
        <rFont val="Arial"/>
      </rPr>
      <t xml:space="preserve">. Let's say you build a prompt structure that invites third party users to submit content to the prompt (in this case the animal whose sound they want to generate). These third party users don't have to write or even see the full prompt. All they have to do is fill in variables.
We do this substitution here using spreadsheet functions, but this is a best practice for coding as well!  We use the {{double-curly-brackets}} formatting in our own code.
</t>
    </r>
    <r>
      <rPr>
        <b/>
        <sz val="11"/>
        <color theme="1"/>
        <rFont val="Arial"/>
      </rPr>
      <t xml:space="preserve">Note: </t>
    </r>
    <r>
      <rPr>
        <u/>
        <sz val="11"/>
        <color theme="1"/>
        <rFont val="Arial"/>
      </rPr>
      <t>Prompt templates can have as many variables as desired</t>
    </r>
    <r>
      <rPr>
        <sz val="11"/>
        <color theme="1"/>
        <rFont val="Arial"/>
      </rPr>
      <t>.</t>
    </r>
  </si>
  <si>
    <r>
      <rPr>
        <sz val="11"/>
        <color theme="1"/>
        <rFont val="Arial"/>
      </rPr>
      <t xml:space="preserve">When introducing substitution variables like this, it is very important to </t>
    </r>
    <r>
      <rPr>
        <u/>
        <sz val="11"/>
        <color theme="1"/>
        <rFont val="Arial"/>
      </rPr>
      <t>make sure Claude knows where variables start and end</t>
    </r>
    <r>
      <rPr>
        <sz val="11"/>
        <color theme="1"/>
        <rFont val="Arial"/>
      </rPr>
      <t xml:space="preserve"> (vs. instructions or task descriptions). Let's look at an example where there is no separation between the instructions and the substitution variable.</t>
    </r>
  </si>
  <si>
    <t>Input {{EMAIL}}</t>
  </si>
  <si>
    <t>User: Yo Claude. {{EMAIL}} &lt;----- Make this email more polite but don't change anything else about it.</t>
  </si>
  <si>
    <t>Show up at 6am tomorrow because I'm the CEO and I say so.</t>
  </si>
  <si>
    <r>
      <rPr>
        <sz val="11"/>
        <color theme="1"/>
        <rFont val="Arial"/>
      </rPr>
      <t xml:space="preserve">Here, </t>
    </r>
    <r>
      <rPr>
        <u/>
        <sz val="11"/>
        <color theme="1"/>
        <rFont val="Arial"/>
      </rPr>
      <t>Claude thinks "Yo Claude" is part of the email it's supposed to rewrite</t>
    </r>
    <r>
      <rPr>
        <sz val="11"/>
        <color theme="1"/>
        <rFont val="Arial"/>
      </rPr>
      <t>! You can tell because it begins its rewrite with "Dear Claude". To the human eye, it's clear, particularly in the prompt template where the email begins and ends, but it becomes much less clear in the prompt after substitution.</t>
    </r>
  </si>
  <si>
    <r>
      <rPr>
        <sz val="11"/>
        <rFont val="Arial"/>
      </rPr>
      <t xml:space="preserve">How do we solve this? </t>
    </r>
    <r>
      <rPr>
        <b/>
        <sz val="11"/>
        <rFont val="Arial"/>
      </rPr>
      <t>Wrap the input in XML tags</t>
    </r>
    <r>
      <rPr>
        <sz val="11"/>
        <rFont val="Arial"/>
      </rPr>
      <t xml:space="preserve">! We did this below, and as you can see, there's no more "Dear Claude" in the output.
</t>
    </r>
    <r>
      <rPr>
        <u/>
        <sz val="11"/>
        <color rgb="FF1155CC"/>
        <rFont val="Arial"/>
      </rPr>
      <t>XML tags</t>
    </r>
    <r>
      <rPr>
        <sz val="11"/>
        <rFont val="Arial"/>
      </rPr>
      <t xml:space="preserve"> are angle-bracket tags like &lt;tag&gt;&lt;/tag&gt;. They come in pairs and consist of an opening tag, such as &lt;tag&gt;, and a closing tag marked by a "</t>
    </r>
    <r>
      <rPr>
        <b/>
        <sz val="11"/>
        <rFont val="Arial"/>
      </rPr>
      <t>/</t>
    </r>
    <r>
      <rPr>
        <sz val="11"/>
        <rFont val="Arial"/>
      </rPr>
      <t xml:space="preserve">", such as &lt;/tag&gt;. XML tags are used to wrap around content, like this: &lt;tag&gt;content&lt;/tag&gt;.
</t>
    </r>
    <r>
      <rPr>
        <b/>
        <sz val="11"/>
        <rFont val="Arial"/>
      </rPr>
      <t>Note:</t>
    </r>
    <r>
      <rPr>
        <sz val="11"/>
        <rFont val="Arial"/>
      </rPr>
      <t xml:space="preserve"> While Claude can recognize and work with a wide range of separators and delimeters, we recommend that you </t>
    </r>
    <r>
      <rPr>
        <b/>
        <sz val="11"/>
        <rFont val="Arial"/>
      </rPr>
      <t>use specifically XML tags as separators for Claude</t>
    </r>
    <r>
      <rPr>
        <sz val="11"/>
        <rFont val="Arial"/>
      </rPr>
      <t xml:space="preserve">, as Claude was trained specifically to recognize XML tags as a prompt organizing mechanism. Outside of function calling, </t>
    </r>
    <r>
      <rPr>
        <b/>
        <sz val="11"/>
        <rFont val="Arial"/>
      </rPr>
      <t>there are no special sauce XML tags that Claude has been trained on that you should use to maximally boost your performance</t>
    </r>
    <r>
      <rPr>
        <sz val="11"/>
        <rFont val="Arial"/>
      </rPr>
      <t>. We have purposefully made Claude very malleable and customizable this way.</t>
    </r>
  </si>
  <si>
    <t>User: Yo Claude. &lt;email&gt;{{EMAIL}}&lt;/email&gt; &lt;----- Make this email more polite but don't change anything else about it.</t>
  </si>
  <si>
    <t>Show up at 6am because I'm the CEO and I say so.</t>
  </si>
  <si>
    <r>
      <rPr>
        <sz val="11"/>
        <color theme="1"/>
        <rFont val="Arial"/>
      </rPr>
      <t xml:space="preserve">Let's see another example of how XML tags can help us. 
In the following prompt, </t>
    </r>
    <r>
      <rPr>
        <u/>
        <sz val="11"/>
        <color theme="1"/>
        <rFont val="Arial"/>
      </rPr>
      <t>Claude incorrectly interprets what part of the prompt is the instruction vs. the input</t>
    </r>
    <r>
      <rPr>
        <sz val="11"/>
        <color theme="1"/>
        <rFont val="Arial"/>
      </rPr>
      <t>. It incorrectly considers "Each is about an animal, like rabbits" to be part of the list due to the formatting, when the user (the one filling out the {{SENTENCES}} variable) presumably did not want that.</t>
    </r>
  </si>
  <si>
    <t>Input {{SENTENCES}}</t>
  </si>
  <si>
    <t>User: Below is a list of sentences. Tell me the second item on the list.
- Each is about an animal, like rabbits.
{{SENTENCES}}</t>
  </si>
  <si>
    <t>- I like how cows sound
- This sentence is about spiders
- This sentence may appear to be about dogs but it's actually about pigs</t>
  </si>
  <si>
    <r>
      <rPr>
        <sz val="11"/>
        <color theme="1"/>
        <rFont val="Arial"/>
      </rPr>
      <t xml:space="preserve">To fix this, we just need to </t>
    </r>
    <r>
      <rPr>
        <u/>
        <sz val="11"/>
        <color theme="1"/>
        <rFont val="Arial"/>
      </rPr>
      <t>surround the user input sentences in XML tags</t>
    </r>
    <r>
      <rPr>
        <sz val="11"/>
        <color theme="1"/>
        <rFont val="Arial"/>
      </rPr>
      <t>. This shows Claude where the input data begins and ends despite the misleading hyphen before "Each is about an animal, like rabbits."</t>
    </r>
  </si>
  <si>
    <t>User: Below is a list of sentences. Tell me the second item on the list.
- Each is about an animal, like rabbits.
&lt;sentences&gt;
{{SENTENCES}}
&lt;/sentences&gt;</t>
  </si>
  <si>
    <r>
      <rPr>
        <b/>
        <sz val="11"/>
        <color theme="1"/>
        <rFont val="Arial"/>
      </rPr>
      <t xml:space="preserve">Note: </t>
    </r>
    <r>
      <rPr>
        <sz val="11"/>
        <color theme="1"/>
        <rFont val="Arial"/>
      </rPr>
      <t xml:space="preserve">In the incorrect version of the "Each is about an animal" prompt, we had to include the hyphen to get Claude to respond incorrectly in the way we wanted to for this example. This is an important lesson about prompting: </t>
    </r>
    <r>
      <rPr>
        <b/>
        <sz val="11"/>
        <color theme="1"/>
        <rFont val="Arial"/>
      </rPr>
      <t>small details matter!</t>
    </r>
    <r>
      <rPr>
        <sz val="11"/>
        <color theme="1"/>
        <rFont val="Arial"/>
      </rPr>
      <t xml:space="preserve"> It's always worth it to </t>
    </r>
    <r>
      <rPr>
        <b/>
        <sz val="11"/>
        <color theme="1"/>
        <rFont val="Arial"/>
      </rPr>
      <t>scrub your prompts for typos and grammatical errors</t>
    </r>
    <r>
      <rPr>
        <sz val="11"/>
        <color theme="1"/>
        <rFont val="Arial"/>
      </rPr>
      <t>. Claude is sensitive to patterns (in its early years, before finetuning, it was a raw text-prediction tool), and it's more likely to make mistakes when you make mistakes, smarter when you sound smart, sillier when you sound silly, and so on.</t>
    </r>
  </si>
  <si>
    <r>
      <rPr>
        <sz val="11"/>
        <color theme="1"/>
        <rFont val="Arial"/>
      </rPr>
      <t xml:space="preserve">If you're ready to </t>
    </r>
    <r>
      <rPr>
        <u/>
        <sz val="11"/>
        <color theme="1"/>
        <rFont val="Arial"/>
      </rPr>
      <t>try the chapter exercises, click the link below</t>
    </r>
    <r>
      <rPr>
        <sz val="11"/>
        <color theme="1"/>
        <rFont val="Arial"/>
      </rPr>
      <t>. If you want to play around with any of the examples in this lesson, scroll down!</t>
    </r>
  </si>
  <si>
    <t>Chapter 4 Exercises: Separating Data from Instructions →</t>
  </si>
  <si>
    <r>
      <rPr>
        <sz val="11"/>
        <color theme="1"/>
        <rFont val="Arial"/>
      </rPr>
      <t xml:space="preserve">This is an area for you to </t>
    </r>
    <r>
      <rPr>
        <u/>
        <sz val="11"/>
        <color theme="1"/>
        <rFont val="Arial"/>
      </rPr>
      <t>experiment freely with the prompt examples shown in this lesson</t>
    </r>
    <r>
      <rPr>
        <sz val="11"/>
        <color theme="1"/>
        <rFont val="Arial"/>
      </rPr>
      <t xml:space="preserve">. Feel free to tweak prompts to see how it may affect Claude's responses.
</t>
    </r>
    <r>
      <rPr>
        <b/>
        <sz val="11"/>
        <color theme="1"/>
        <rFont val="Arial"/>
      </rPr>
      <t>Note:</t>
    </r>
    <r>
      <rPr>
        <sz val="11"/>
        <color theme="1"/>
        <rFont val="Arial"/>
      </rPr>
      <t xml:space="preserve"> The colors in the cells, which have been carried over from above, will not change even if the prompt or Claude's response changes.</t>
    </r>
  </si>
  <si>
    <t>← Chapter 3 Exercises: Assigning Roles</t>
  </si>
  <si>
    <t>Chapter 4: Separating Data from Instructions - Exercises</t>
  </si>
  <si>
    <t>Exercise 4.1 - Haiku Topic</t>
  </si>
  <si>
    <t>Exercise 4.2 - Dog Question with Typos</t>
  </si>
  <si>
    <t>Exercise 4.3 - Dog Question Part 2</t>
  </si>
  <si>
    <r>
      <rPr>
        <sz val="11"/>
        <color theme="1"/>
        <rFont val="Arial"/>
      </rPr>
      <t xml:space="preserve">Write a prompt in the highlighted template box that will </t>
    </r>
    <r>
      <rPr>
        <u/>
        <sz val="11"/>
        <color theme="1"/>
        <rFont val="Arial"/>
      </rPr>
      <t>take in a variable called "{{TOPIC}}" and output a haiku</t>
    </r>
    <r>
      <rPr>
        <sz val="11"/>
        <color theme="1"/>
        <rFont val="Arial"/>
      </rPr>
      <t xml:space="preserve"> about the topic. This exercise is just meant to test your understanding of the variable templating structure.</t>
    </r>
  </si>
  <si>
    <t>Input {{TOPIC}}</t>
  </si>
  <si>
    <t>Pigs</t>
  </si>
  <si>
    <r>
      <rPr>
        <b/>
        <sz val="11"/>
        <color theme="1"/>
        <rFont val="Arial"/>
      </rPr>
      <t xml:space="preserve">Hint: </t>
    </r>
    <r>
      <rPr>
        <sz val="11"/>
        <color theme="1"/>
        <rFont val="Arial"/>
      </rPr>
      <t>Don't forget to include "User:" at the start of your message list, as well as the exact phrase "{{TOPIC}}" wherever you want the topic to be substituted in. Changing the input cell (E12) should make Claude write a haiku about a different topic.
The conditional formatting in this exercise is looking for a solution that includes the words "haiku" and "pig".</t>
    </r>
  </si>
  <si>
    <r>
      <rPr>
        <u/>
        <sz val="11"/>
        <color theme="1"/>
        <rFont val="Arial"/>
      </rPr>
      <t>Fix the prompt in the highlighted template box by adding XML tags</t>
    </r>
    <r>
      <rPr>
        <sz val="11"/>
        <color theme="1"/>
        <rFont val="Arial"/>
      </rPr>
      <t xml:space="preserve"> so that Claude produces the right answer.
Try not to change anything else about the prompt. The messy and mistake-ridden writing is intentional, so you can see how Claude reacts to such mistakes. Claude's response will turn </t>
    </r>
    <r>
      <rPr>
        <b/>
        <sz val="11"/>
        <color rgb="FF34A853"/>
        <rFont val="Arial"/>
      </rPr>
      <t>GREEN</t>
    </r>
    <r>
      <rPr>
        <sz val="11"/>
        <color theme="1"/>
        <rFont val="Arial"/>
      </rPr>
      <t xml:space="preserve"> if your prompt produces the right answer.</t>
    </r>
  </si>
  <si>
    <r>
      <rPr>
        <b/>
        <sz val="11"/>
        <color theme="1"/>
        <rFont val="Arial"/>
      </rPr>
      <t xml:space="preserve">Note: </t>
    </r>
    <r>
      <rPr>
        <sz val="11"/>
        <color theme="1"/>
        <rFont val="Arial"/>
      </rPr>
      <t xml:space="preserve">Although Claude can somewhat parse through broken prompts with poor grammar and misspelled words, </t>
    </r>
    <r>
      <rPr>
        <b/>
        <sz val="11"/>
        <color theme="1"/>
        <rFont val="Arial"/>
      </rPr>
      <t xml:space="preserve">having a clearly written, spell-checked and grammatically correct prompt far decreases the risk of Claude making mistakes and far increases the quality of Claude's output. </t>
    </r>
  </si>
  <si>
    <t>Input {{QUESTION}}</t>
  </si>
  <si>
    <t>User: Hia its me i have a q about dogs jkaerjv {{QUESTION}} jklmvca tx it help me muhch much atx fst fst answer short short tx</t>
  </si>
  <si>
    <t>ar cn brown?</t>
  </si>
  <si>
    <r>
      <rPr>
        <b/>
        <sz val="11"/>
        <color theme="1"/>
        <rFont val="Arial"/>
      </rPr>
      <t xml:space="preserve">Hint: </t>
    </r>
    <r>
      <rPr>
        <sz val="11"/>
        <color theme="1"/>
        <rFont val="Arial"/>
      </rPr>
      <t>If you surround "{{QUESTION}}" in XML tags, how does that change Claude's response?
The conditional formatting in this exercise is looking for a response that includes the word "brown".</t>
    </r>
  </si>
  <si>
    <r>
      <rPr>
        <sz val="11"/>
        <color theme="1"/>
        <rFont val="Arial"/>
      </rPr>
      <t xml:space="preserve">Fix the prompt in the highlighted template box </t>
    </r>
    <r>
      <rPr>
        <b/>
        <u/>
        <sz val="11"/>
        <color theme="1"/>
        <rFont val="Arial"/>
      </rPr>
      <t>WITHOUT</t>
    </r>
    <r>
      <rPr>
        <u/>
        <sz val="11"/>
        <color theme="1"/>
        <rFont val="Arial"/>
      </rPr>
      <t xml:space="preserve"> adding XML tags.</t>
    </r>
    <r>
      <rPr>
        <sz val="11"/>
        <color theme="1"/>
        <rFont val="Arial"/>
      </rPr>
      <t xml:space="preserve"> Instead, </t>
    </r>
    <r>
      <rPr>
        <u/>
        <sz val="11"/>
        <color theme="1"/>
        <rFont val="Arial"/>
      </rPr>
      <t>remove only one or two words from the prompt</t>
    </r>
    <r>
      <rPr>
        <sz val="11"/>
        <color theme="1"/>
        <rFont val="Arial"/>
      </rPr>
      <t xml:space="preserve">.
Just as with the above exercises, try not to change anything else about the prompt. This will show you what kind of language Claude can parse and understand. Claude's response will turn </t>
    </r>
    <r>
      <rPr>
        <b/>
        <sz val="11"/>
        <color rgb="FF34A853"/>
        <rFont val="Arial"/>
      </rPr>
      <t>GREEN</t>
    </r>
    <r>
      <rPr>
        <sz val="11"/>
        <color theme="1"/>
        <rFont val="Arial"/>
      </rPr>
      <t xml:space="preserve"> if your prompt produces the right answer.</t>
    </r>
  </si>
  <si>
    <r>
      <rPr>
        <b/>
        <sz val="11"/>
        <color theme="1"/>
        <rFont val="Arial"/>
      </rPr>
      <t xml:space="preserve">Hint: </t>
    </r>
    <r>
      <rPr>
        <sz val="11"/>
        <color theme="1"/>
        <rFont val="Arial"/>
      </rPr>
      <t>Try removing one word or section of characters at a time, starting with the parts that make the least sense. Doing this one word at a time will also help you see just how much Claude can or can't parse and understand.
The conditional formatting in this exercise is looking for a response that includes the word "brown".</t>
    </r>
  </si>
  <si>
    <t>← Chapter 4: Separating Data from Instructions</t>
  </si>
  <si>
    <t>Chapter 5: Formatting Output &amp; Speaking for Claude →</t>
  </si>
  <si>
    <r>
      <rPr>
        <b/>
        <sz val="11"/>
        <color theme="1"/>
        <rFont val="Arial"/>
      </rPr>
      <t>Claude can format its output in a wide variety of ways</t>
    </r>
    <r>
      <rPr>
        <sz val="11"/>
        <color theme="1"/>
        <rFont val="Arial"/>
      </rPr>
      <t xml:space="preserve">. You just need to ask for it to do so!
One of these ways is by using XML tags to separate out the response from any other superfluous text. You've already learned that you can use XML tags to make your prompt clearer and more parseable to Claude. It turns out, you can also ask Claude to </t>
    </r>
    <r>
      <rPr>
        <b/>
        <sz val="11"/>
        <color theme="1"/>
        <rFont val="Arial"/>
      </rPr>
      <t>use XML tags to make its output clearer and more easily understandable</t>
    </r>
    <r>
      <rPr>
        <sz val="11"/>
        <color theme="1"/>
        <rFont val="Arial"/>
      </rPr>
      <t xml:space="preserve"> to humans.</t>
    </r>
  </si>
  <si>
    <r>
      <rPr>
        <sz val="11"/>
        <color theme="1"/>
        <rFont val="Arial"/>
      </rPr>
      <t xml:space="preserve">Remember the 'poem preamble problem' we solved in Chapter 2 by asking Claude to skip the preamble entirely? It turns out we can also achieve a similar outcome by </t>
    </r>
    <r>
      <rPr>
        <u/>
        <sz val="11"/>
        <color theme="1"/>
        <rFont val="Arial"/>
      </rPr>
      <t>telling Claude to put the poem in XML tags</t>
    </r>
    <r>
      <rPr>
        <sz val="11"/>
        <color theme="1"/>
        <rFont val="Arial"/>
      </rPr>
      <t>.</t>
    </r>
  </si>
  <si>
    <t>User: Please write a haiku about {{ANIMAL}}. Put it in &lt;haiku&gt; tags.</t>
  </si>
  <si>
    <t>Rabbit</t>
  </si>
  <si>
    <r>
      <rPr>
        <sz val="11"/>
        <color theme="1"/>
        <rFont val="Arial"/>
      </rPr>
      <t xml:space="preserve">Why is this something we'd want to do? Well, having the output in </t>
    </r>
    <r>
      <rPr>
        <u/>
        <sz val="11"/>
        <color theme="1"/>
        <rFont val="Arial"/>
      </rPr>
      <t>XML tags allows the end user to reliably get the poem and only the poem by writing a short program to extract the content between XML tags</t>
    </r>
    <r>
      <rPr>
        <sz val="11"/>
        <color theme="1"/>
        <rFont val="Arial"/>
      </rPr>
      <t>.</t>
    </r>
  </si>
  <si>
    <r>
      <rPr>
        <sz val="11"/>
        <color theme="1"/>
        <rFont val="Arial"/>
      </rPr>
      <t xml:space="preserve">An extension of this technique is to </t>
    </r>
    <r>
      <rPr>
        <b/>
        <sz val="11"/>
        <color theme="1"/>
        <rFont val="Arial"/>
      </rPr>
      <t xml:space="preserve">put the first XML tag </t>
    </r>
    <r>
      <rPr>
        <b/>
        <u/>
        <sz val="11"/>
        <color theme="1"/>
        <rFont val="Arial"/>
      </rPr>
      <t>AFTER</t>
    </r>
    <r>
      <rPr>
        <b/>
        <sz val="11"/>
        <color theme="1"/>
        <rFont val="Arial"/>
      </rPr>
      <t xml:space="preserve"> "Assistant:"</t>
    </r>
    <r>
      <rPr>
        <sz val="11"/>
        <color theme="1"/>
        <rFont val="Arial"/>
      </rPr>
      <t>. When you put text after "Assistant:", you're basically telling Claude that Claude has already said something, and that it should continue from that point onward. This technique is called "speaking for Claude" or "prefilling Claude's response."
Below, we've done this with the first &lt;haiku&gt; XML tag. Notice how Claude continues directly from where we left off.</t>
    </r>
  </si>
  <si>
    <t>User: Please write a haiku about {{ANIMAL}}. Put it in &lt;haiku&gt; tags.
Assistant: &lt;haiku&gt;</t>
  </si>
  <si>
    <t>Cat</t>
  </si>
  <si>
    <r>
      <rPr>
        <sz val="11"/>
        <color theme="1"/>
        <rFont val="Arial"/>
      </rPr>
      <t xml:space="preserve">Claude also excels at using other output formatting styles, notably </t>
    </r>
    <r>
      <rPr>
        <b/>
        <sz val="11"/>
        <color theme="1"/>
        <rFont val="Arial"/>
      </rPr>
      <t xml:space="preserve">JSON. </t>
    </r>
    <r>
      <rPr>
        <sz val="11"/>
        <color theme="1"/>
        <rFont val="Arial"/>
      </rPr>
      <t>If you want to enforce JSON output (not deterministically, but close to it), you can also prefill Claude's response with the opening bracket, "{".</t>
    </r>
  </si>
  <si>
    <t>User: Please write a haiku about {{ANIMAL}}. Use JSON format with the keys as "first_line", "second_line", and "third_line".
Assistant: {</t>
  </si>
  <si>
    <r>
      <rPr>
        <sz val="11"/>
        <color theme="1"/>
        <rFont val="Arial"/>
      </rPr>
      <t xml:space="preserve">Below is an example of </t>
    </r>
    <r>
      <rPr>
        <u/>
        <sz val="11"/>
        <color theme="1"/>
        <rFont val="Arial"/>
      </rPr>
      <t>multiple input variables in the same prompt AND output formatting specification, all done using XML tags</t>
    </r>
    <r>
      <rPr>
        <sz val="11"/>
        <color theme="1"/>
        <rFont val="Arial"/>
      </rPr>
      <t>.</t>
    </r>
  </si>
  <si>
    <t>User: Hey Claude. Here is an email: &lt;email&gt;{{EMAIL}}&lt;/email&gt;. Make this email more {{ADJECTIVE}}. Write the new version in &lt;{{ADJECTIVE}}_email&gt; XML tags.
Assistant: &lt;{{ADJECTIVE}}_email&gt;</t>
  </si>
  <si>
    <t>Hi Zack, just pinging you for a quick update on that prompt you were supposed to write.</t>
  </si>
  <si>
    <t>Input {{ADJECTIVE}}</t>
  </si>
  <si>
    <t>olde english</t>
  </si>
  <si>
    <r>
      <rPr>
        <b/>
        <sz val="11"/>
        <color theme="1"/>
        <rFont val="Arial"/>
      </rPr>
      <t>Bonus lesson:</t>
    </r>
    <r>
      <rPr>
        <sz val="11"/>
        <color theme="1"/>
        <rFont val="Arial"/>
      </rPr>
      <t xml:space="preserve"> To learn more about</t>
    </r>
    <r>
      <rPr>
        <b/>
        <sz val="11"/>
        <color theme="1"/>
        <rFont val="Arial"/>
      </rPr>
      <t xml:space="preserve"> controlling Claude's output using the API</t>
    </r>
    <r>
      <rPr>
        <sz val="11"/>
        <color theme="1"/>
        <rFont val="Arial"/>
      </rPr>
      <t>, click on the plus sign (➕) on the far left of this row!</t>
    </r>
  </si>
  <si>
    <t>If you are calling Claude through the API, you can pass the closing XML tag to the "stop_sequences" parameter to get Claude to stop sampling once it emits your desired tag. This can save money and time-to-last-token by eliminating Claude's concluding remarks after it's already given you the answer you care about.</t>
  </si>
  <si>
    <r>
      <rPr>
        <sz val="11"/>
        <color theme="1"/>
        <rFont val="Arial"/>
      </rPr>
      <t xml:space="preserve">If you're ready to </t>
    </r>
    <r>
      <rPr>
        <u/>
        <sz val="11"/>
        <color theme="1"/>
        <rFont val="Arial"/>
      </rPr>
      <t>try the chapter exercises, click the link below</t>
    </r>
    <r>
      <rPr>
        <sz val="11"/>
        <color theme="1"/>
        <rFont val="Arial"/>
      </rPr>
      <t>. If you want to play around with any of the examples in this lesson, scroll down!</t>
    </r>
  </si>
  <si>
    <t>Chapter 5 Exercises: Formatting Output &amp; Speaking for Claude →</t>
  </si>
  <si>
    <r>
      <rPr>
        <sz val="11"/>
        <color theme="1"/>
        <rFont val="Arial"/>
      </rPr>
      <t xml:space="preserve">This is an area for you to </t>
    </r>
    <r>
      <rPr>
        <u/>
        <sz val="11"/>
        <color theme="1"/>
        <rFont val="Arial"/>
      </rPr>
      <t>experiment freely with the prompt examples shown in this lesson</t>
    </r>
    <r>
      <rPr>
        <sz val="11"/>
        <color theme="1"/>
        <rFont val="Arial"/>
      </rPr>
      <t xml:space="preserve">. Feel free to tweak prompts to see how it may affect Claude's responses.
</t>
    </r>
    <r>
      <rPr>
        <b/>
        <sz val="11"/>
        <color theme="1"/>
        <rFont val="Arial"/>
      </rPr>
      <t>Note:</t>
    </r>
    <r>
      <rPr>
        <sz val="11"/>
        <color theme="1"/>
        <rFont val="Arial"/>
      </rPr>
      <t xml:space="preserve"> The colors in the cells, which have been carried over from above, will not change even if the prompt or Claude's response changes.</t>
    </r>
  </si>
  <si>
    <t>← Chapter 4 Exercises: Separating Data and Instructions</t>
  </si>
  <si>
    <t>Chapter 5: Formatting Output &amp; Speaking for Claude - Exercises</t>
  </si>
  <si>
    <t>Exercise 5.1 - Steph Curry GOAT</t>
  </si>
  <si>
    <t>Exercise 5.2 - Two Haikus</t>
  </si>
  <si>
    <t>Exercise 5.3 - Two Haikus, Two Animals</t>
  </si>
  <si>
    <r>
      <rPr>
        <sz val="11"/>
        <color theme="1"/>
        <rFont val="Arial"/>
      </rPr>
      <t xml:space="preserve">Forced to make a choice, Claude designates Michael Jordan as the best basketball player of all time. Can we get Claude to pick someone else?
Modify the "best basketball player" prompt in the highlighted template box and use the "speaking for Claude" technique (putting words after "Assistant:") to </t>
    </r>
    <r>
      <rPr>
        <u/>
        <sz val="11"/>
        <color theme="1"/>
        <rFont val="Arial"/>
      </rPr>
      <t xml:space="preserve">compell Claude to make a detailed argument that the best basketball player of all time is </t>
    </r>
    <r>
      <rPr>
        <b/>
        <u/>
        <sz val="11"/>
        <color theme="1"/>
        <rFont val="Arial"/>
      </rPr>
      <t>Stephen Curry</t>
    </r>
    <r>
      <rPr>
        <sz val="11"/>
        <color theme="1"/>
        <rFont val="Arial"/>
      </rPr>
      <t xml:space="preserve">. Claude's response will turn </t>
    </r>
    <r>
      <rPr>
        <b/>
        <sz val="11"/>
        <color rgb="FF34A853"/>
        <rFont val="Arial"/>
      </rPr>
      <t>GREEN</t>
    </r>
    <r>
      <rPr>
        <sz val="11"/>
        <color theme="1"/>
        <rFont val="Arial"/>
      </rPr>
      <t xml:space="preserve"> if your prompt produces the right answer.</t>
    </r>
  </si>
  <si>
    <t>User: Who is the best basketball player of all time? Please choose one specific player.
Assistant:</t>
  </si>
  <si>
    <r>
      <rPr>
        <b/>
        <sz val="11"/>
        <color theme="1"/>
        <rFont val="Arial"/>
      </rPr>
      <t xml:space="preserve">Hint: </t>
    </r>
    <r>
      <rPr>
        <u/>
        <sz val="11"/>
        <color theme="1"/>
        <rFont val="Arial"/>
      </rPr>
      <t>Write more words</t>
    </r>
    <r>
      <rPr>
        <i/>
        <sz val="11"/>
        <color theme="1"/>
        <rFont val="Arial"/>
      </rPr>
      <t xml:space="preserve"> </t>
    </r>
    <r>
      <rPr>
        <sz val="11"/>
        <color theme="1"/>
        <rFont val="Arial"/>
      </rPr>
      <t>in Claude's voice to steer Claude to act the way you want it to. For instance, instead of "Stephen Curry is the best because," you could write "Stephen Curry is the best and here are three reasons why. 1:"
The conditional formatting for this exercise is looking for a response that includes the word "Warrior".</t>
    </r>
  </si>
  <si>
    <r>
      <rPr>
        <sz val="11"/>
        <color theme="1"/>
        <rFont val="Arial"/>
      </rPr>
      <t xml:space="preserve">Modify the haiku prompt in the highlighted template box below and </t>
    </r>
    <r>
      <rPr>
        <u/>
        <sz val="11"/>
        <color theme="1"/>
        <rFont val="Arial"/>
      </rPr>
      <t>use XML tags so that Claude writes two haikus about the animal instead of just one</t>
    </r>
    <r>
      <rPr>
        <sz val="11"/>
        <color theme="1"/>
        <rFont val="Arial"/>
      </rPr>
      <t xml:space="preserve">. It should be clear where one poem ends and the other begins.
Claude's response will turn </t>
    </r>
    <r>
      <rPr>
        <b/>
        <sz val="11"/>
        <color rgb="FF34A853"/>
        <rFont val="Arial"/>
      </rPr>
      <t>GREEN</t>
    </r>
    <r>
      <rPr>
        <sz val="11"/>
        <color theme="1"/>
        <rFont val="Arial"/>
      </rPr>
      <t xml:space="preserve"> if your prompt produces the right answer.</t>
    </r>
  </si>
  <si>
    <t>cats</t>
  </si>
  <si>
    <r>
      <rPr>
        <b/>
        <sz val="11"/>
        <color theme="1"/>
        <rFont val="Arial"/>
      </rPr>
      <t xml:space="preserve">Hint: </t>
    </r>
    <r>
      <rPr>
        <sz val="11"/>
        <color theme="1"/>
        <rFont val="Arial"/>
      </rPr>
      <t>Start simple. Currently, the prompt asks Claude for one haiku. You can change that and ask for two (or even more). Then if you run into formatting issues, change your prompt to fix that after you've already gotten Claude to write more than one haiku.
The conditional formatting looks for a response of over 5 lines in length that includes the words "cat" and "&lt;haiku&gt;".</t>
    </r>
  </si>
  <si>
    <r>
      <rPr>
        <sz val="11"/>
        <color theme="1"/>
        <rFont val="Arial"/>
      </rPr>
      <t xml:space="preserve">Modify the haiku prompt in the highlighted template box below so that </t>
    </r>
    <r>
      <rPr>
        <u/>
        <sz val="11"/>
        <color theme="1"/>
        <rFont val="Arial"/>
      </rPr>
      <t>Claude produces two haikus about two different animals</t>
    </r>
    <r>
      <rPr>
        <sz val="11"/>
        <color theme="1"/>
        <rFont val="Arial"/>
      </rPr>
      <t xml:space="preserve">. 
Use {{ANIMAL1}} as a stand-in for the first substitution, and {{ANIMAL2}} as a stand-in for the second substitution.
Claude's response will turn </t>
    </r>
    <r>
      <rPr>
        <b/>
        <sz val="11"/>
        <color rgb="FF34A853"/>
        <rFont val="Arial"/>
      </rPr>
      <t>GREEN</t>
    </r>
    <r>
      <rPr>
        <sz val="11"/>
        <color theme="1"/>
        <rFont val="Arial"/>
      </rPr>
      <t xml:space="preserve"> if your prompt produces the right answer.</t>
    </r>
  </si>
  <si>
    <t>Input {{ANIMAL1}}</t>
  </si>
  <si>
    <t>User: Please write a haiku about {{ANIMAL1}}. Put it in &lt;haiku&gt; tags.</t>
  </si>
  <si>
    <t>Input {{ANIMAL2}}</t>
  </si>
  <si>
    <t>Dog</t>
  </si>
  <si>
    <r>
      <rPr>
        <b/>
        <sz val="11"/>
        <color theme="1"/>
        <rFont val="Arial"/>
      </rPr>
      <t xml:space="preserve">Hint: </t>
    </r>
    <r>
      <rPr>
        <sz val="11"/>
        <color theme="1"/>
        <rFont val="Arial"/>
      </rPr>
      <t>It's helpful to break this exercise down to several steps.</t>
    </r>
  </si>
  <si>
    <t>1.</t>
  </si>
  <si>
    <r>
      <rPr>
        <sz val="11"/>
        <color theme="1"/>
        <rFont val="Arial"/>
      </rPr>
      <t xml:space="preserve">Modify the initial prompt template so that </t>
    </r>
    <r>
      <rPr>
        <u/>
        <sz val="11"/>
        <color theme="1"/>
        <rFont val="Arial"/>
      </rPr>
      <t>Claude writes two poems</t>
    </r>
    <r>
      <rPr>
        <sz val="11"/>
        <color theme="1"/>
        <rFont val="Arial"/>
      </rPr>
      <t>.</t>
    </r>
  </si>
  <si>
    <t>2.</t>
  </si>
  <si>
    <r>
      <rPr>
        <sz val="11"/>
        <color theme="1"/>
        <rFont val="Arial"/>
      </rPr>
      <t xml:space="preserve">Give Claude indicators as to what the poems will be about, but instead of writing in the subjects directly (e.g., dog, cat, etc.), </t>
    </r>
    <r>
      <rPr>
        <u/>
        <sz val="11"/>
        <color theme="1"/>
        <rFont val="Arial"/>
      </rPr>
      <t>replace those subjects with the keywords "{{ANIMAL1}}" and "{{ANIMAL2}}"</t>
    </r>
    <r>
      <rPr>
        <sz val="11"/>
        <color theme="1"/>
        <rFont val="Arial"/>
      </rPr>
      <t>.</t>
    </r>
  </si>
  <si>
    <t>3.</t>
  </si>
  <si>
    <r>
      <rPr>
        <sz val="11"/>
        <color theme="1"/>
        <rFont val="Arial"/>
      </rPr>
      <t xml:space="preserve">Check to make sure the </t>
    </r>
    <r>
      <rPr>
        <u/>
        <sz val="11"/>
        <color theme="1"/>
        <rFont val="Arial"/>
      </rPr>
      <t>"Prompt After Substitution" box has all the words correctly substituted.</t>
    </r>
    <r>
      <rPr>
        <sz val="11"/>
        <color theme="1"/>
        <rFont val="Arial"/>
      </rPr>
      <t xml:space="preserve"> If not, check to make sure your {{bracket}} tags are spelled correctly with the exact formatting given.</t>
    </r>
  </si>
  <si>
    <t>The conditional formatting in this exercise is looking for a response that contains the words "tail", "cat", and "&lt;haiku&gt;".</t>
  </si>
  <si>
    <t>← Chapter 5: Formatting Output &amp; Speaking for Claude</t>
  </si>
  <si>
    <t>Chapter 6: Precognition (Thinking Step by Step) →</t>
  </si>
  <si>
    <r>
      <rPr>
        <sz val="11"/>
        <color rgb="FF1F1F1F"/>
        <rFont val="Arial"/>
      </rPr>
      <t xml:space="preserve">If someone woke you up and immediately started asking you several complicated questions that you had to respond to right away, how would you do? Probably not as good as if you were given time to </t>
    </r>
    <r>
      <rPr>
        <u/>
        <sz val="11"/>
        <color rgb="FF1F1F1F"/>
        <rFont val="Arial"/>
      </rPr>
      <t>think through your answer first</t>
    </r>
    <r>
      <rPr>
        <sz val="11"/>
        <color rgb="FF1F1F1F"/>
        <rFont val="Arial"/>
      </rPr>
      <t xml:space="preserve">. 
Guess what? Claude is the same way.
</t>
    </r>
    <r>
      <rPr>
        <b/>
        <sz val="11"/>
        <color rgb="FF1F1F1F"/>
        <rFont val="Arial"/>
      </rPr>
      <t>Giving Claude time to think step by step sometimes makes Claude more accurate</t>
    </r>
    <r>
      <rPr>
        <sz val="11"/>
        <color rgb="FF1F1F1F"/>
        <rFont val="Arial"/>
      </rPr>
      <t xml:space="preserve">, particularly for complex tasks. However, </t>
    </r>
    <r>
      <rPr>
        <b/>
        <sz val="11"/>
        <color rgb="FF1F1F1F"/>
        <rFont val="Arial"/>
      </rPr>
      <t>thinking</t>
    </r>
    <r>
      <rPr>
        <sz val="11"/>
        <color rgb="FF1F1F1F"/>
        <rFont val="Arial"/>
      </rPr>
      <t xml:space="preserve"> </t>
    </r>
    <r>
      <rPr>
        <b/>
        <sz val="11"/>
        <color rgb="FF1F1F1F"/>
        <rFont val="Arial"/>
      </rPr>
      <t>only counts when it's out loud</t>
    </r>
    <r>
      <rPr>
        <sz val="11"/>
        <color rgb="FF1F1F1F"/>
        <rFont val="Arial"/>
      </rPr>
      <t>. You cannot ask Claude to think but output only the answer - in this case, no thinking has actually occurred.</t>
    </r>
  </si>
  <si>
    <r>
      <rPr>
        <sz val="11"/>
        <color theme="1"/>
        <rFont val="Arial"/>
      </rPr>
      <t xml:space="preserve">In the movie review prompt below, it's clear to a human reader that the second sentence belies the first. But </t>
    </r>
    <r>
      <rPr>
        <u/>
        <sz val="11"/>
        <color theme="1"/>
        <rFont val="Arial"/>
      </rPr>
      <t>Claude takes the word "unrelated" too literally</t>
    </r>
    <r>
      <rPr>
        <sz val="11"/>
        <color theme="1"/>
        <rFont val="Arial"/>
      </rPr>
      <t>.</t>
    </r>
  </si>
  <si>
    <t>User: Is this movie review sentiment positive or negative?
This movie blew my mind with its freshness and originality. In totally unrelated news, I have been living under a rock since the year 1900.</t>
  </si>
  <si>
    <r>
      <rPr>
        <sz val="11"/>
        <color theme="1"/>
        <rFont val="Arial"/>
      </rPr>
      <t xml:space="preserve">To improve Claude's response, let's </t>
    </r>
    <r>
      <rPr>
        <b/>
        <sz val="11"/>
        <color theme="1"/>
        <rFont val="Arial"/>
      </rPr>
      <t>allow Claude to think things out first before answering</t>
    </r>
    <r>
      <rPr>
        <sz val="11"/>
        <color theme="1"/>
        <rFont val="Arial"/>
      </rPr>
      <t xml:space="preserve">. We do that by </t>
    </r>
    <r>
      <rPr>
        <u/>
        <sz val="11"/>
        <color theme="1"/>
        <rFont val="Arial"/>
      </rPr>
      <t>literally spelling out the steps that Claude should take</t>
    </r>
    <r>
      <rPr>
        <sz val="11"/>
        <color theme="1"/>
        <rFont val="Arial"/>
      </rPr>
      <t xml:space="preserve"> in order to process and think through its task. Along with a dash of role prompting, this empowers Claude to understand the review more deeply.</t>
    </r>
  </si>
  <si>
    <t>You are a savvy reader of movie reviews.</t>
  </si>
  <si>
    <t>User: Is this review sentiment positive or negative? First, write the best arguments for each side in &lt;positive-argument&gt; and &lt;negative-argument&gt; XML tags, then answer.
This movie blew my mind with its freshness and originality. In totally unrelated news, I have been living under a rock since 1900.</t>
  </si>
  <si>
    <r>
      <rPr>
        <b/>
        <sz val="11"/>
        <color theme="1"/>
        <rFont val="Arial"/>
      </rPr>
      <t>Claude is sometimes sensitive to ordering.</t>
    </r>
    <r>
      <rPr>
        <sz val="11"/>
        <color theme="1"/>
        <rFont val="Arial"/>
      </rPr>
      <t xml:space="preserve"> This example is on the frontier of Claude's ability to understand nuanced text, and when we </t>
    </r>
    <r>
      <rPr>
        <u/>
        <sz val="11"/>
        <color theme="1"/>
        <rFont val="Arial"/>
      </rPr>
      <t>swap the order of the arguments</t>
    </r>
    <r>
      <rPr>
        <sz val="11"/>
        <color theme="1"/>
        <rFont val="Arial"/>
      </rPr>
      <t xml:space="preserve"> from the previous example so that </t>
    </r>
    <r>
      <rPr>
        <u/>
        <sz val="11"/>
        <color theme="1"/>
        <rFont val="Arial"/>
      </rPr>
      <t>negative is first and positive is second,</t>
    </r>
    <r>
      <rPr>
        <sz val="11"/>
        <color theme="1"/>
        <rFont val="Arial"/>
      </rPr>
      <t xml:space="preserve"> this changes </t>
    </r>
    <r>
      <rPr>
        <u/>
        <sz val="11"/>
        <color theme="1"/>
        <rFont val="Arial"/>
      </rPr>
      <t xml:space="preserve">Claude's overall assessment to positive.
</t>
    </r>
    <r>
      <rPr>
        <sz val="11"/>
        <color theme="1"/>
        <rFont val="Arial"/>
      </rPr>
      <t xml:space="preserve">
In most situations (but not all, confusingly enough), </t>
    </r>
    <r>
      <rPr>
        <b/>
        <sz val="11"/>
        <color theme="1"/>
        <rFont val="Arial"/>
      </rPr>
      <t>Claude is more likely to choose the second of two options</t>
    </r>
    <r>
      <rPr>
        <sz val="11"/>
        <color theme="1"/>
        <rFont val="Arial"/>
      </rPr>
      <t xml:space="preserve">, possibly because in its </t>
    </r>
    <r>
      <rPr>
        <u/>
        <sz val="11"/>
        <color theme="1"/>
        <rFont val="Arial"/>
      </rPr>
      <t>training data from the web</t>
    </r>
    <r>
      <rPr>
        <sz val="11"/>
        <color theme="1"/>
        <rFont val="Arial"/>
      </rPr>
      <t>, second options were more likely to be correct.</t>
    </r>
  </si>
  <si>
    <t>User: Is this review sentiment negative or positive? First write the best arguments for each side in &lt;negative-argument&gt; and &lt;positive-argument&gt; XML tags, then answer.
This movie blew my mind with its freshness and originality. Unrelatedly, I have been living under a rock since 1900.</t>
  </si>
  <si>
    <r>
      <rPr>
        <b/>
        <sz val="11"/>
        <color theme="1"/>
        <rFont val="Arial"/>
      </rPr>
      <t>Letting Claude think can shift Claude's answer from incorrect to correct.</t>
    </r>
    <r>
      <rPr>
        <sz val="11"/>
        <color theme="1"/>
        <rFont val="Arial"/>
      </rPr>
      <t xml:space="preserve"> It's that simple in many cases where Claude makes mistakes!
Let's go through an example where Claude's answer is incorrect to see how asking Claude to think can fix that.</t>
    </r>
  </si>
  <si>
    <t>User: Name a famous movie starring an actor who was born in the year 1956.</t>
  </si>
  <si>
    <t>Let's fix this by asking Claude to think step by step, this time in &lt;brainstorm&gt; tags.</t>
  </si>
  <si>
    <t>User: Name a famous movie starring an actor who was born in the year 1956. First brainstorm about some actors and their birth years in &lt;brainstorm&gt; tags, then give your answer.</t>
  </si>
  <si>
    <r>
      <rPr>
        <sz val="11"/>
        <color theme="1"/>
        <rFont val="Arial"/>
      </rPr>
      <t xml:space="preserve">If you're ready to </t>
    </r>
    <r>
      <rPr>
        <u/>
        <sz val="11"/>
        <color theme="1"/>
        <rFont val="Arial"/>
      </rPr>
      <t>try the chapter exercises, click the link below</t>
    </r>
    <r>
      <rPr>
        <sz val="11"/>
        <color theme="1"/>
        <rFont val="Arial"/>
      </rPr>
      <t>. If you want to play around with any of the examples in this lesson, scroll down!</t>
    </r>
  </si>
  <si>
    <t>Chapter 6 Exercises: Precognition (Thinking Step by Step) →</t>
  </si>
  <si>
    <r>
      <rPr>
        <sz val="11"/>
        <color theme="1"/>
        <rFont val="Arial"/>
      </rPr>
      <t xml:space="preserve">This is an area for you to </t>
    </r>
    <r>
      <rPr>
        <u/>
        <sz val="11"/>
        <color theme="1"/>
        <rFont val="Arial"/>
      </rPr>
      <t>experiment freely with the prompt examples shown in this lesson</t>
    </r>
    <r>
      <rPr>
        <sz val="11"/>
        <color theme="1"/>
        <rFont val="Arial"/>
      </rPr>
      <t xml:space="preserve">. Feel free to tweak prompts to see how it may affect Claude's responses.
</t>
    </r>
    <r>
      <rPr>
        <b/>
        <sz val="11"/>
        <color theme="1"/>
        <rFont val="Arial"/>
      </rPr>
      <t>Note:</t>
    </r>
    <r>
      <rPr>
        <sz val="11"/>
        <color theme="1"/>
        <rFont val="Arial"/>
      </rPr>
      <t xml:space="preserve"> The colors in the cells, which have been carried over from above, will not change even if the prompt or Claude's response changes.</t>
    </r>
  </si>
  <si>
    <t>← Chapter 5 Exercises: Formatting Output &amp; Speaking for Claude</t>
  </si>
  <si>
    <t>Chapter 6: Precognition (Thinking Step by Step) - Exercises</t>
  </si>
  <si>
    <t>Exercise 6.1 - Classifying Emails</t>
  </si>
  <si>
    <t>Exercise 6.2 - Email Classification Formatting</t>
  </si>
  <si>
    <r>
      <rPr>
        <sz val="11"/>
        <color theme="1"/>
        <rFont val="Arial"/>
      </rPr>
      <t xml:space="preserve">In this exercise, we'll be instructing Claude to </t>
    </r>
    <r>
      <rPr>
        <u/>
        <sz val="11"/>
        <color theme="1"/>
        <rFont val="Arial"/>
      </rPr>
      <t>sort emails into the following categories</t>
    </r>
    <r>
      <rPr>
        <sz val="11"/>
        <color theme="1"/>
        <rFont val="Arial"/>
      </rPr>
      <t>:</t>
    </r>
  </si>
  <si>
    <t>(A) Pre-sale question
(B) Broken or defective item
(C) Billing question
(D) Other (please explain)</t>
  </si>
  <si>
    <r>
      <rPr>
        <sz val="11"/>
        <color theme="1"/>
        <rFont val="Arial"/>
      </rPr>
      <t xml:space="preserve">For the first part of the exercise, change the prompt in the </t>
    </r>
    <r>
      <rPr>
        <b/>
        <sz val="11"/>
        <color rgb="FFBF9000"/>
        <rFont val="Arial"/>
      </rPr>
      <t>YELLOW</t>
    </r>
    <r>
      <rPr>
        <sz val="11"/>
        <color theme="1"/>
        <rFont val="Arial"/>
      </rPr>
      <t xml:space="preserve"> highlighted prompt template box to </t>
    </r>
    <r>
      <rPr>
        <u/>
        <sz val="11"/>
        <color theme="1"/>
        <rFont val="Arial"/>
      </rPr>
      <t>make Claude output the correct classification</t>
    </r>
    <r>
      <rPr>
        <sz val="11"/>
        <color theme="1"/>
        <rFont val="Arial"/>
      </rPr>
      <t xml:space="preserve">. Use Chain of Thought. To be marked as correct, Claude's answer needs to </t>
    </r>
    <r>
      <rPr>
        <u/>
        <sz val="11"/>
        <color theme="1"/>
        <rFont val="Arial"/>
      </rPr>
      <t>include the letter (A - D) of the correct choice, with the parentheses, as well as the name of the category.</t>
    </r>
    <r>
      <rPr>
        <sz val="11"/>
        <color theme="1"/>
        <rFont val="Arial"/>
      </rPr>
      <t xml:space="preserve">
Refer to the "Correct Classification" in column K to know which emails should be classified under what category. Claude's response will turn </t>
    </r>
    <r>
      <rPr>
        <b/>
        <sz val="11"/>
        <color rgb="FF34A853"/>
        <rFont val="Arial"/>
      </rPr>
      <t>GREEN</t>
    </r>
    <r>
      <rPr>
        <sz val="11"/>
        <color theme="1"/>
        <rFont val="Arial"/>
      </rPr>
      <t xml:space="preserve"> if your prompt yields the correct answer. </t>
    </r>
  </si>
  <si>
    <r>
      <rPr>
        <b/>
        <sz val="11"/>
        <color theme="1"/>
        <rFont val="Arial"/>
      </rPr>
      <t xml:space="preserve">Tip: </t>
    </r>
    <r>
      <rPr>
        <sz val="11"/>
        <color theme="1"/>
        <rFont val="Arial"/>
      </rPr>
      <t>Use precognition and other techniques you've learned leading up to this chapter! Remember,</t>
    </r>
    <r>
      <rPr>
        <b/>
        <sz val="11"/>
        <color theme="1"/>
        <rFont val="Arial"/>
      </rPr>
      <t xml:space="preserve"> thinking only counts when it's out loud!</t>
    </r>
  </si>
  <si>
    <t>Input - {{EMAIL}}</t>
  </si>
  <si>
    <t>Correct Classification</t>
  </si>
  <si>
    <t>User: Please classify this email as either green or blue: {{EMAIL}}</t>
  </si>
  <si>
    <t>Hi -- My Mixmaster4000 is producing a strange noise when I operate it. It also smells a bit smoky and plasticky, like burning electronics.  I need a replacement.</t>
  </si>
  <si>
    <t>B</t>
  </si>
  <si>
    <t>Can I use my Mixmaster 4000 to mix paint, or is it only meant for mixing food?</t>
  </si>
  <si>
    <t>D or A</t>
  </si>
  <si>
    <t>I HAVE BEEN WAITING 4 MONTHS FOR MY MONTHLY CHARGES TO END AFTER CANCELLING!!  WTF IS GOING ON???</t>
  </si>
  <si>
    <t>C</t>
  </si>
  <si>
    <t>How did I get here I am not good with computer.  Halp.</t>
  </si>
  <si>
    <t>D</t>
  </si>
  <si>
    <r>
      <rPr>
        <b/>
        <sz val="11"/>
        <color theme="1"/>
        <rFont val="Arial"/>
      </rPr>
      <t>BONUS QUESTION:</t>
    </r>
    <r>
      <rPr>
        <sz val="11"/>
        <color theme="1"/>
        <rFont val="Arial"/>
      </rPr>
      <t xml:space="preserve"> Time to think like a data scientist! Why is the second email the trickiest one to classify correctly? If the classification is debatable for humans, it's likely also tough for Claude!</t>
    </r>
  </si>
  <si>
    <r>
      <rPr>
        <b/>
        <sz val="11"/>
        <color theme="1"/>
        <rFont val="Arial"/>
      </rPr>
      <t xml:space="preserve">Hint: </t>
    </r>
    <r>
      <rPr>
        <sz val="11"/>
        <color theme="1"/>
        <rFont val="Arial"/>
      </rPr>
      <t>Let's take this exercise step by step:</t>
    </r>
  </si>
  <si>
    <r>
      <rPr>
        <sz val="11"/>
        <color theme="1"/>
        <rFont val="Arial"/>
      </rPr>
      <t xml:space="preserve">How will Claude know what categories you want to use? Tell it! </t>
    </r>
    <r>
      <rPr>
        <u/>
        <sz val="11"/>
        <color theme="1"/>
        <rFont val="Arial"/>
      </rPr>
      <t>Include the four categories you want directly in the prompt</t>
    </r>
    <r>
      <rPr>
        <sz val="11"/>
        <color theme="1"/>
        <rFont val="Arial"/>
      </rPr>
      <t>. Be sure to include the parenthetical letters as well for easy classification. Feel free to use XML tags to organize your prompt and make clear to Claude where the categories begin and end.</t>
    </r>
  </si>
  <si>
    <r>
      <rPr>
        <sz val="11"/>
        <color theme="1"/>
        <rFont val="Arial"/>
      </rPr>
      <t xml:space="preserve">Try to </t>
    </r>
    <r>
      <rPr>
        <u/>
        <sz val="11"/>
        <color theme="1"/>
        <rFont val="Arial"/>
      </rPr>
      <t>cut down on superfluous text so that Claude immediately answers with the classification and ONLY the classification</t>
    </r>
    <r>
      <rPr>
        <sz val="11"/>
        <color theme="1"/>
        <rFont val="Arial"/>
      </rPr>
      <t xml:space="preserve">. There are several ways to do this, from speaking for Claude (providing anything from the beginning of the sentence to a single open parenthesis so that Claude knows you want the parenthetical letter as the first part of the answer) to telling Claude that you want the classification and only the classification, skipping the preamble.
</t>
    </r>
    <r>
      <rPr>
        <i/>
        <sz val="11"/>
        <color theme="1"/>
        <rFont val="Arial"/>
      </rPr>
      <t>Refer to Chapters 2 and 5 if you want a refresher on these techniques.</t>
    </r>
  </si>
  <si>
    <t>Claude may still be incorrectly categorizing or not including the names of the categories when it answers. Fix this by telling Claude to include the full category name in its answer.</t>
  </si>
  <si>
    <t>4.</t>
  </si>
  <si>
    <r>
      <rPr>
        <sz val="11"/>
        <color theme="1"/>
        <rFont val="Arial"/>
      </rPr>
      <t xml:space="preserve">Be sure that you still </t>
    </r>
    <r>
      <rPr>
        <u/>
        <sz val="11"/>
        <color theme="1"/>
        <rFont val="Arial"/>
      </rPr>
      <t>have {{EMAIL}} somewhere in your prompt</t>
    </r>
    <r>
      <rPr>
        <sz val="11"/>
        <color theme="1"/>
        <rFont val="Arial"/>
      </rPr>
      <t xml:space="preserve"> template so that we can properly substitute in emails for Claude to evaluate.</t>
    </r>
  </si>
  <si>
    <t>The conditional formatting in this exercise is looking for the correct categorization letter + the closing parentheses and the first letter of the name of the category, such as "C) B" or "B) B" etc.</t>
  </si>
  <si>
    <t>⁉️</t>
  </si>
  <si>
    <t>Still stuck? Click on the plus sign (➕) on the far left of this row for the answer.</t>
  </si>
  <si>
    <r>
      <rPr>
        <b/>
        <sz val="11"/>
        <color theme="1"/>
        <rFont val="Arial"/>
      </rPr>
      <t>Answer:</t>
    </r>
    <r>
      <rPr>
        <sz val="11"/>
        <color theme="1"/>
        <rFont val="Arial"/>
      </rPr>
      <t xml:space="preserve"> Below is one way you could go about doing this.</t>
    </r>
  </si>
  <si>
    <t>Prompt Template ANSWER</t>
  </si>
  <si>
    <t>Step in Hint</t>
  </si>
  <si>
    <r>
      <rPr>
        <sz val="10"/>
        <color theme="1"/>
        <rFont val="Arial"/>
      </rPr>
      <t xml:space="preserve">User: Please classify this email into the following categories: </t>
    </r>
    <r>
      <rPr>
        <sz val="10"/>
        <color rgb="FF9900FF"/>
        <rFont val="Arial"/>
      </rPr>
      <t>{{EMAIL}}</t>
    </r>
    <r>
      <rPr>
        <sz val="10"/>
        <color theme="1"/>
        <rFont val="Arial"/>
      </rPr>
      <t xml:space="preserve">
</t>
    </r>
    <r>
      <rPr>
        <sz val="10"/>
        <color rgb="FF34A853"/>
        <rFont val="Arial"/>
      </rPr>
      <t xml:space="preserve">Do not include any extra words except the category.
</t>
    </r>
    <r>
      <rPr>
        <sz val="10"/>
        <color theme="1"/>
        <rFont val="Arial"/>
      </rPr>
      <t xml:space="preserve">
</t>
    </r>
    <r>
      <rPr>
        <sz val="10"/>
        <color rgb="FFFF9900"/>
        <rFont val="Arial"/>
      </rPr>
      <t>&lt;categories&gt;
(A) Pre-sale question
(B) Broken or defective item
(C) Billing question
(D) Other (please explain)
&lt;/categories&gt;</t>
    </r>
    <r>
      <rPr>
        <sz val="10"/>
        <color theme="1"/>
        <rFont val="Arial"/>
      </rPr>
      <t xml:space="preserve">
Assistant: </t>
    </r>
    <r>
      <rPr>
        <sz val="10"/>
        <color rgb="FF34A853"/>
        <rFont val="Arial"/>
      </rPr>
      <t>(</t>
    </r>
  </si>
  <si>
    <t>1. Include categories</t>
  </si>
  <si>
    <t>2. Cut down on superfluous text</t>
  </si>
  <si>
    <t>3. Have {{EMAIL}} in the prompt for proper substitution</t>
  </si>
  <si>
    <r>
      <rPr>
        <sz val="11"/>
        <color theme="1"/>
        <rFont val="Arial"/>
      </rPr>
      <t xml:space="preserve">In this exercise, we're going to </t>
    </r>
    <r>
      <rPr>
        <u/>
        <sz val="11"/>
        <color theme="1"/>
        <rFont val="Arial"/>
      </rPr>
      <t>refine the output of the above prompt to yield an answer formatted exactly how we want it.</t>
    </r>
    <r>
      <rPr>
        <sz val="11"/>
        <color theme="1"/>
        <rFont val="Arial"/>
      </rPr>
      <t xml:space="preserve"> 
Use your favorite output formatting technique to </t>
    </r>
    <r>
      <rPr>
        <u/>
        <sz val="11"/>
        <color theme="1"/>
        <rFont val="Arial"/>
      </rPr>
      <t xml:space="preserve">make Claude wrap </t>
    </r>
    <r>
      <rPr>
        <b/>
        <u/>
        <sz val="11"/>
        <color theme="1"/>
        <rFont val="Arial"/>
      </rPr>
      <t xml:space="preserve">just the letter </t>
    </r>
    <r>
      <rPr>
        <u/>
        <sz val="11"/>
        <color theme="1"/>
        <rFont val="Arial"/>
      </rPr>
      <t>of the correct classification in "&lt;answer&gt;&lt;/answer&gt; tags</t>
    </r>
    <r>
      <rPr>
        <sz val="11"/>
        <color theme="1"/>
        <rFont val="Arial"/>
      </rPr>
      <t xml:space="preserve">. </t>
    </r>
    <r>
      <rPr>
        <i/>
        <sz val="11"/>
        <color theme="1"/>
        <rFont val="Arial"/>
      </rPr>
      <t xml:space="preserve">Refer to the above exercise if you forget which letter is correct for each email.
</t>
    </r>
    <r>
      <rPr>
        <sz val="11"/>
        <color theme="1"/>
        <rFont val="Arial"/>
      </rPr>
      <t xml:space="preserve">Claude's response will turn </t>
    </r>
    <r>
      <rPr>
        <b/>
        <sz val="11"/>
        <color rgb="FF34A853"/>
        <rFont val="Arial"/>
      </rPr>
      <t>GREEN</t>
    </r>
    <r>
      <rPr>
        <sz val="11"/>
        <color theme="1"/>
        <rFont val="Arial"/>
      </rPr>
      <t xml:space="preserve"> if your prompt yields the correct answer. For instance, </t>
    </r>
    <r>
      <rPr>
        <u/>
        <sz val="11"/>
        <color theme="1"/>
        <rFont val="Arial"/>
      </rPr>
      <t>the answer to the first email should contain the exact string "&lt;answer&gt;B&lt;/answer&gt;"</t>
    </r>
    <r>
      <rPr>
        <sz val="11"/>
        <color theme="1"/>
        <rFont val="Arial"/>
      </rPr>
      <t>.</t>
    </r>
  </si>
  <si>
    <r>
      <rPr>
        <b/>
        <sz val="11"/>
        <color theme="1"/>
        <rFont val="Arial"/>
      </rPr>
      <t>Tip:</t>
    </r>
    <r>
      <rPr>
        <sz val="11"/>
        <color theme="1"/>
        <rFont val="Arial"/>
      </rPr>
      <t xml:space="preserve"> As a first step, </t>
    </r>
    <r>
      <rPr>
        <u/>
        <sz val="11"/>
        <color theme="1"/>
        <rFont val="Arial"/>
      </rPr>
      <t>copy the final correct version of your prompt from Exercise 1 down into the highlighted prompt template box below</t>
    </r>
    <r>
      <rPr>
        <sz val="11"/>
        <color theme="1"/>
        <rFont val="Arial"/>
      </rPr>
      <t>. Then edit and refine your initial prompt from there.</t>
    </r>
  </si>
  <si>
    <r>
      <rPr>
        <b/>
        <sz val="11"/>
        <color theme="1"/>
        <rFont val="Arial"/>
      </rPr>
      <t>Note:</t>
    </r>
    <r>
      <rPr>
        <sz val="11"/>
        <color theme="1"/>
        <rFont val="Arial"/>
      </rPr>
      <t xml:space="preserve"> In this exercise, you can see that </t>
    </r>
    <r>
      <rPr>
        <b/>
        <sz val="11"/>
        <color theme="1"/>
        <rFont val="Arial"/>
      </rPr>
      <t>Claude in Sheets is a powerful prompt evaluation tool</t>
    </r>
    <r>
      <rPr>
        <sz val="11"/>
        <color theme="1"/>
        <rFont val="Arial"/>
      </rPr>
      <t xml:space="preserve">. Using substitutions, you can </t>
    </r>
    <r>
      <rPr>
        <u/>
        <sz val="11"/>
        <color theme="1"/>
        <rFont val="Arial"/>
      </rPr>
      <t>easily check how well a prompt does in multiple contexts</t>
    </r>
    <r>
      <rPr>
        <sz val="11"/>
        <color theme="1"/>
        <rFont val="Arial"/>
      </rPr>
      <t xml:space="preserve"> by only modifying one prompt and yielding several responses from Claude as a result. Here, we evaluate the prompt across four instances, but you can easily expand this evaluation to as many rows as needed.</t>
    </r>
  </si>
  <si>
    <r>
      <rPr>
        <b/>
        <sz val="11"/>
        <color theme="1"/>
        <rFont val="Arial"/>
      </rPr>
      <t>Hint:</t>
    </r>
    <r>
      <rPr>
        <sz val="11"/>
        <color theme="1"/>
        <rFont val="Arial"/>
      </rPr>
      <t xml:space="preserve"> Sometimes the simplest way to go about this is to give Claude an example of how you want its output to look. Just don't forget that if you prefill Claude's response with anything, Claude won't actually output that as part of its response.
The conditional formatting in this exercise is looking for </t>
    </r>
    <r>
      <rPr>
        <b/>
        <sz val="11"/>
        <color theme="1"/>
        <rFont val="Arial"/>
      </rPr>
      <t>only</t>
    </r>
    <r>
      <rPr>
        <sz val="11"/>
        <color theme="1"/>
        <rFont val="Arial"/>
      </rPr>
      <t xml:space="preserve"> the correct letter wrapped in &lt;answer&gt; tags, such as "&lt;answer&gt;B&lt;/answer&gt;". The correct categorization letters are the same as in the above exercise. </t>
    </r>
  </si>
  <si>
    <t>← Chapter 6: Precognition (Thinking Step by Step)</t>
  </si>
  <si>
    <t>Chapter 7: Using Examples (Few-Shot Prompting) →</t>
  </si>
  <si>
    <t>Chapter 7: Using Examples (Few-Shot Prompting)</t>
  </si>
  <si>
    <r>
      <rPr>
        <b/>
        <sz val="11"/>
        <color rgb="FF1F1F1F"/>
        <rFont val="Arial"/>
      </rPr>
      <t xml:space="preserve">Giving Claude examples of how you want it to behave (or how you want it </t>
    </r>
    <r>
      <rPr>
        <b/>
        <i/>
        <sz val="11"/>
        <color rgb="FF1F1F1F"/>
        <rFont val="Arial"/>
      </rPr>
      <t>not</t>
    </r>
    <r>
      <rPr>
        <b/>
        <sz val="11"/>
        <color rgb="FF1F1F1F"/>
        <rFont val="Arial"/>
      </rPr>
      <t xml:space="preserve"> to behave) is extremely effective</t>
    </r>
    <r>
      <rPr>
        <sz val="11"/>
        <color rgb="FF1F1F1F"/>
        <rFont val="Arial"/>
      </rPr>
      <t xml:space="preserve"> for:
- Getting the right answer
- Getting the answer in the right format
This sort of prompting is also called </t>
    </r>
    <r>
      <rPr>
        <b/>
        <sz val="11"/>
        <color rgb="FF1F1F1F"/>
        <rFont val="Arial"/>
      </rPr>
      <t>"few shot prompting"</t>
    </r>
    <r>
      <rPr>
        <sz val="11"/>
        <color rgb="FF1F1F1F"/>
        <rFont val="Arial"/>
      </rPr>
      <t>. You might also encounter the phrase "zero-shot" or "n-shot" or "one-shot". The number of "shots" refers to how many examples are used within the prompt.</t>
    </r>
  </si>
  <si>
    <r>
      <rPr>
        <sz val="11"/>
        <color theme="1"/>
        <rFont val="Arial"/>
      </rPr>
      <t xml:space="preserve">Pretend you're a developer trying to build a "parent bot" that responds to questions from kids. </t>
    </r>
    <r>
      <rPr>
        <u/>
        <sz val="11"/>
        <color theme="1"/>
        <rFont val="Arial"/>
      </rPr>
      <t>Claude's default response is quite formal and robotic</t>
    </r>
    <r>
      <rPr>
        <sz val="11"/>
        <color theme="1"/>
        <rFont val="Arial"/>
      </rPr>
      <t>. This is going to break a child's heart.</t>
    </r>
  </si>
  <si>
    <t>User: Will Santa bring me presents on Christmas?</t>
  </si>
  <si>
    <r>
      <rPr>
        <sz val="11"/>
        <color theme="1"/>
        <rFont val="Arial"/>
      </rPr>
      <t xml:space="preserve">You could take the time to describe your desired tone, but it's much easier just to </t>
    </r>
    <r>
      <rPr>
        <u/>
        <sz val="11"/>
        <color theme="1"/>
        <rFont val="Arial"/>
      </rPr>
      <t>give Claude a few examples of ideal responses</t>
    </r>
    <r>
      <rPr>
        <sz val="11"/>
        <color theme="1"/>
        <rFont val="Arial"/>
      </rPr>
      <t>.</t>
    </r>
  </si>
  <si>
    <t>User: Please complete the conversation by writing the next line, speaking as "A".
Q: Is the tooth fairy real?
A: Of course, sweetie. Wrap up your tooth and put it under your pillow tonight. There might be something waiting for you in the morning.
Q: Will Santa bring me presents on Christmas?</t>
  </si>
  <si>
    <r>
      <rPr>
        <sz val="11"/>
        <color theme="1"/>
        <rFont val="Arial"/>
      </rPr>
      <t xml:space="preserve">In the following formatting example, we </t>
    </r>
    <r>
      <rPr>
        <i/>
        <sz val="11"/>
        <color theme="1"/>
        <rFont val="Arial"/>
      </rPr>
      <t>could</t>
    </r>
    <r>
      <rPr>
        <sz val="11"/>
        <color theme="1"/>
        <rFont val="Arial"/>
      </rPr>
      <t xml:space="preserve"> walk Claude step by step through a set of formatting instructions on how to extract names and professions and then format them exactly the way we want, or we could just </t>
    </r>
    <r>
      <rPr>
        <u/>
        <sz val="11"/>
        <color theme="1"/>
        <rFont val="Arial"/>
      </rPr>
      <t>provide Claude with some correctly-formatted examples and Claude can extrapolate from there</t>
    </r>
    <r>
      <rPr>
        <sz val="11"/>
        <color theme="1"/>
        <rFont val="Arial"/>
      </rPr>
      <t xml:space="preserve">. Note the "&lt;individuals&gt;" after "Assistant:" to start Claude off on the right foot.
</t>
    </r>
    <r>
      <rPr>
        <b/>
        <sz val="11"/>
        <color theme="1"/>
        <rFont val="Arial"/>
      </rPr>
      <t>Tip:</t>
    </r>
    <r>
      <rPr>
        <sz val="11"/>
        <color theme="1"/>
        <rFont val="Arial"/>
      </rPr>
      <t xml:space="preserve"> Double click on the prompt cell to scroll through the entire long prompt.</t>
    </r>
  </si>
  <si>
    <t>User: Silvermist Hollow, a charming village, was home to an extraordinary group of individuals. Among them was Dr. Liam Patel, a neurosurgeon who revolutionized surgical techniques at the regional medical center. Olivia Chen was an innovative architect who transformed the village's landscape with her sustainable and breathtaking designs. The local theater was graced by the enchanting symphonies of Ethan Kovacs, a professionally-trained musician and composer. Isabella Torres, a self-taught chef with a passion for locally sourced ingredients, created a culinary sensation with her farm-to-table restaurant, which became a must-visit destination for food lovers. These remarkable individuals, each with their distinct talents, contributed to the vibrant tapestry of life in Silvermist Hollow.
&lt;individuals&gt;
1. Dr. Liam Patel [NEUROSURGEON]
2. Olivia Chen [ARCHITECT]
3. Ethan Kovacs [MISICIAN AND COMPOSER]
4. Isabella Torres [CHEF]
&lt;/individuals&gt;
At the heart of the town, Chef Oliver Hamilton has transformed the culinary scene with his farm-to-table restaurant, Green Plate. Oliver's dedication to sourcing local, organic ingredients has earned the establishment rave reviews from food critics and locals alike.
Just down the street, you'll find the Riverside Grove Library, where head librarian Elizabeth Chen has worked diligently to create a welcoming and inclusive space for all. Her efforts to expand the library's offerings and establish reading programs for children have had a significant impact on the town's literacy rates.
As you stroll through the charming town square, you'll be captivated by the beautiful murals adorning the walls. These masterpieces are the work of renowned artist, Isabella Torres, whose talent for capturing the essence of Riverside Grove has brought the town to life.
Riverside Grove's athletic achievements are also worth noting, thanks to former Olympic swimmer-turned-coach, Marcus Jenkins. Marcus has used his experience and passion to train the town's youth, leading the Riverside Grove Swim Team to several regional championships.
&lt;individuals&gt;
1. Oliver Hamilton [CHEF]
2. Elizabeth Chen [LIBRARIAN]
3. Isabella Torres [ARTIST]
4. Marcus Jenkins [COACH]
&lt;/individuals&gt;
Oak Valley, a charming small town, is home to a remarkable trio of individuals whose skills and dedication have left a lasting impact on the community.
At the town's bustling farmer's market, you'll find Laura Simmons, a passionate organic farmer known for her delicious and sustainably grown produce. Her dedication to promoting healthy eating has inspired the town to embrace a more eco-conscious lifestyle.
In Oak Valley's community center, Kevin Alvarez, a skilled dance instructor, has brought the joy of movement to people of all ages. His inclusive dance classes have fostered a sense of unity and self-expression among residents, enriching the local arts scene.
Lastly, Rachel O'Connor, a tireless volunteer, dedicates her time to various charitable initiatives. Her commitment to improving the lives of others has been instrumental in creating a strong sense of community within Oak Valley.
Through their unique talents and unwavering dedication, Laura, Kevin, and Rachel have woven themselves into the fabric of Oak Valley, helping to create a vibrant and thriving small town.
Assistant: &lt;individuals&gt;</t>
  </si>
  <si>
    <r>
      <rPr>
        <sz val="11"/>
        <color theme="1"/>
        <rFont val="Arial"/>
      </rPr>
      <t xml:space="preserve">If you're ready to </t>
    </r>
    <r>
      <rPr>
        <u/>
        <sz val="11"/>
        <color theme="1"/>
        <rFont val="Arial"/>
      </rPr>
      <t>try the chapter exercises, click the link below</t>
    </r>
    <r>
      <rPr>
        <sz val="11"/>
        <color theme="1"/>
        <rFont val="Arial"/>
      </rPr>
      <t>. If you want to play around with any of the examples in this lesson, scroll down!</t>
    </r>
  </si>
  <si>
    <t>Chapter 7 Exercises: Using Examples →</t>
  </si>
  <si>
    <r>
      <rPr>
        <sz val="11"/>
        <color theme="1"/>
        <rFont val="Arial"/>
      </rPr>
      <t xml:space="preserve">This is an area for you to </t>
    </r>
    <r>
      <rPr>
        <u/>
        <sz val="11"/>
        <color theme="1"/>
        <rFont val="Arial"/>
      </rPr>
      <t>experiment freely with the prompt examples shown in this lesson</t>
    </r>
    <r>
      <rPr>
        <sz val="11"/>
        <color theme="1"/>
        <rFont val="Arial"/>
      </rPr>
      <t xml:space="preserve">. Feel free to tweak prompts to see how it may affect Claude's responses.
</t>
    </r>
    <r>
      <rPr>
        <b/>
        <sz val="11"/>
        <color theme="1"/>
        <rFont val="Arial"/>
      </rPr>
      <t>Note:</t>
    </r>
    <r>
      <rPr>
        <sz val="11"/>
        <color theme="1"/>
        <rFont val="Arial"/>
      </rPr>
      <t xml:space="preserve"> The colors in the cells, which have been carried over from above, will not change even if the prompt or Claude's response changes.</t>
    </r>
  </si>
  <si>
    <t>User: In the bustling town of Emerald Hills, a diverse group of individuals made their mark. Sarah Martinez, a dedicated nurse, was known for her compassionate care at the local hospital. David Thompson, an innovative software engineer, worked tirelessly on groundbreaking projects that would revolutionize the tech industry. Meanwhile, Emily Nakamura, a talented artist and muralist, painted vibrant and thought-provoking pieces that adorned the walls of buildings and galleries alike. Lastly, Michael O'Connell, an ambitious entrepreneur, opened a unique, eco-friendly cafe that quickly became the town's favorite meeting spot. Each of these individuals contributed to the rich tapestry of the Emerald Hills community.
&lt;individuals&gt;
1. Sarah Martinez [NURSE]
2. David Thompson [SOFTWARE ENGINEER]
3. Emily Nakamura [ARTIST]
4. Michael O'Connell [ENTREPRENEUR]
&lt;/individuals&gt;
At the heart of the town, Chef Oliver Hamilton has transformed the culinary scene with his farm-to-table restaurant, Green Plate. Oliver's dedication to sourcing local, organic ingredients has earned the establishment rave reviews from food critics and locals alike.
Just down the street, you'll find the Riverside Grove Library, where head librarian Elizabeth Chen has worked diligently to create a welcoming and inclusive space for all. Her efforts to expand the library's offerings and establish reading programs for children have had a significant impact on the town's literacy rates.
As you stroll through the charming town square, you'll be captivated by the beautiful murals adorning the walls. These masterpieces are the work of renowned artist, Isabella Torres, whose talent for capturing the essence of Riverside Grove has brought the town to life.
Riverside Grove's athletic achievements are also worth noting, thanks to former Olympic swimmer-turned-coach, Marcus Jenkins. Marcus has used his experience and passion to train the town's youth, leading the Riverside Grove Swim Team to several regional championships.
&lt;individuals&gt;
1. Oliver Hamilton [CHEF]
2. Elizabeth Chen [LIBRARIAN]
3. Isabella Torres [ARTIST]
4. Marcus Jenkins [COACH]
&lt;/individuals&gt;
Oak Valley, a charming small town, is home to a remarkable trio of individuals whose skills and dedication have left a lasting impact on the community.
At the town's bustling farmer's market, you'll find Laura Simmons, a passionate organic farmer known for her delicious and sustainably grown produce. Her dedication to promoting healthy eating has inspired the town to embrace a more eco-conscious lifestyle.
In Oak Valley's community center, Kevin Alvarez, a skilled dance instructor, has brought the joy of movement to people of all ages. His inclusive dance classes have fostered a sense of unity and self-expression among residents, enriching the local arts scene.
Lastly, Rachel O'Connor, a tireless volunteer, dedicates her time to various charitable initiatives. Her commitment to improving the lives of others has been instrumental in creating a strong sense of community within Oak Valley.
Through their unique talents and unwavering dedication, Laura, Kevin, and Rachel have woven themselves into the fabric of Oak Valley, helping to create a vibrant and thriving small town.
Assistant: &lt;individuals&gt;</t>
  </si>
  <si>
    <t>← Chapter 6 Exercises: Precognition (Thinking Step by Step)</t>
  </si>
  <si>
    <t>Chapter 7: Using Examples (Few-Shot Prompting) - Exercises</t>
  </si>
  <si>
    <t>Exercise 7.1 - Email Formatting via Examples</t>
  </si>
  <si>
    <r>
      <rPr>
        <sz val="11"/>
        <color theme="1"/>
        <rFont val="Arial"/>
      </rPr>
      <t xml:space="preserve">We're going to redo Exercise 2 in Chapter 6, but this time, we're going to edit the yellow-highlighted Prompt Template box to </t>
    </r>
    <r>
      <rPr>
        <u/>
        <sz val="11"/>
        <color theme="1"/>
        <rFont val="Arial"/>
      </rPr>
      <t>use "few-shot" examples of emails + proper classification (and formatting) to get Claude to output the correct answer</t>
    </r>
    <r>
      <rPr>
        <sz val="11"/>
        <color theme="1"/>
        <rFont val="Arial"/>
      </rPr>
      <t xml:space="preserve">. We want the </t>
    </r>
    <r>
      <rPr>
        <b/>
        <u/>
        <sz val="11"/>
        <color theme="1"/>
        <rFont val="Arial"/>
      </rPr>
      <t>last letter</t>
    </r>
    <r>
      <rPr>
        <u/>
        <sz val="11"/>
        <color theme="1"/>
        <rFont val="Arial"/>
      </rPr>
      <t xml:space="preserve"> of Claude's output to be the letter of the category</t>
    </r>
    <r>
      <rPr>
        <sz val="11"/>
        <color theme="1"/>
        <rFont val="Arial"/>
      </rPr>
      <t xml:space="preserve">. </t>
    </r>
    <r>
      <rPr>
        <i/>
        <sz val="11"/>
        <color theme="1"/>
        <rFont val="Arial"/>
      </rPr>
      <t xml:space="preserve">Refer back to Chapter 6 Exercise 1 if you've forgotten the correct categories for each email.
</t>
    </r>
    <r>
      <rPr>
        <sz val="11"/>
        <color theme="1"/>
        <rFont val="Arial"/>
      </rPr>
      <t xml:space="preserve">Claude's response will turn </t>
    </r>
    <r>
      <rPr>
        <b/>
        <sz val="11"/>
        <color rgb="FF34A853"/>
        <rFont val="Arial"/>
      </rPr>
      <t>GREEN</t>
    </r>
    <r>
      <rPr>
        <sz val="11"/>
        <color theme="1"/>
        <rFont val="Arial"/>
      </rPr>
      <t xml:space="preserve"> if your prompt yields the correct answer.</t>
    </r>
  </si>
  <si>
    <t>Remember that these are the categories for the emails:</t>
  </si>
  <si>
    <t>Last Letter</t>
  </si>
  <si>
    <r>
      <rPr>
        <b/>
        <sz val="11"/>
        <color theme="1"/>
        <rFont val="Arial"/>
      </rPr>
      <t xml:space="preserve">Hint: </t>
    </r>
    <r>
      <rPr>
        <sz val="11"/>
        <color theme="1"/>
        <rFont val="Arial"/>
      </rPr>
      <t xml:space="preserve">You're going to have to </t>
    </r>
    <r>
      <rPr>
        <u/>
        <sz val="11"/>
        <color theme="1"/>
        <rFont val="Arial"/>
      </rPr>
      <t>write some example emails and classify them for Claude</t>
    </r>
    <r>
      <rPr>
        <sz val="11"/>
        <color theme="1"/>
        <rFont val="Arial"/>
      </rPr>
      <t xml:space="preserve"> (with the exact formatting you want). There are multiple ways to do this. Here are some guidelines below.</t>
    </r>
  </si>
  <si>
    <r>
      <rPr>
        <u/>
        <sz val="11"/>
        <color theme="1"/>
        <rFont val="Arial"/>
      </rPr>
      <t>Try to have at least two example emails</t>
    </r>
    <r>
      <rPr>
        <sz val="11"/>
        <color theme="1"/>
        <rFont val="Arial"/>
      </rPr>
      <t>. Claude doesn't need an example for all categories, and the examples don't have to be long. It's more helpful to h</t>
    </r>
    <r>
      <rPr>
        <u/>
        <sz val="11"/>
        <color theme="1"/>
        <rFont val="Arial"/>
      </rPr>
      <t>ave examples for whatever you think the trickier categories are</t>
    </r>
    <r>
      <rPr>
        <sz val="11"/>
        <color theme="1"/>
        <rFont val="Arial"/>
      </rPr>
      <t xml:space="preserve"> (which you were asked to think about at the bottom of Chapter 6 Exercise 1). XML tags will help you separate out your examples from the rest of your prompt, although it's unnecessary.</t>
    </r>
  </si>
  <si>
    <r>
      <rPr>
        <sz val="11"/>
        <color theme="1"/>
        <rFont val="Arial"/>
      </rPr>
      <t xml:space="preserve">Make sure your </t>
    </r>
    <r>
      <rPr>
        <u/>
        <sz val="11"/>
        <color theme="1"/>
        <rFont val="Arial"/>
      </rPr>
      <t>example answer formatting is exactly the format you want Claude to use</t>
    </r>
    <r>
      <rPr>
        <sz val="11"/>
        <color theme="1"/>
        <rFont val="Arial"/>
      </rPr>
      <t xml:space="preserve">, so Claude can emulate the format as well. This format should make it so that Claude's answer ends in the letter of the category. </t>
    </r>
    <r>
      <rPr>
        <u/>
        <sz val="11"/>
        <color theme="1"/>
        <rFont val="Arial"/>
      </rPr>
      <t>Wherever you put the {{EMAIL}} placeholder, make sure that it's formatted exactly like your example emails</t>
    </r>
    <r>
      <rPr>
        <sz val="11"/>
        <color theme="1"/>
        <rFont val="Arial"/>
      </rPr>
      <t>.</t>
    </r>
  </si>
  <si>
    <r>
      <rPr>
        <sz val="11"/>
        <color theme="1"/>
        <rFont val="Arial"/>
      </rPr>
      <t xml:space="preserve">Make sure you still </t>
    </r>
    <r>
      <rPr>
        <u/>
        <sz val="11"/>
        <color theme="1"/>
        <rFont val="Arial"/>
      </rPr>
      <t>have the categories listed</t>
    </r>
    <r>
      <rPr>
        <sz val="11"/>
        <color theme="1"/>
        <rFont val="Arial"/>
      </rPr>
      <t xml:space="preserve"> within the prompt itself, otherwise Claude won't know what categories to reference, as well as {</t>
    </r>
    <r>
      <rPr>
        <u/>
        <sz val="11"/>
        <color theme="1"/>
        <rFont val="Arial"/>
      </rPr>
      <t>{EMAIL}} as a placeholder</t>
    </r>
    <r>
      <rPr>
        <sz val="11"/>
        <color theme="1"/>
        <rFont val="Arial"/>
      </rPr>
      <t xml:space="preserve"> for substitution.</t>
    </r>
  </si>
  <si>
    <t>The conditional formatting of this exercise is looking for a response where the very last character of your response is the correct categorization letter ("B", "C", etc.). The letters in column K should match the letters in the blue cells in the chapter 6.1 exercise.</t>
  </si>
  <si>
    <r>
      <rPr>
        <b/>
        <sz val="11"/>
        <color theme="1"/>
        <rFont val="Arial"/>
      </rPr>
      <t>Answer:</t>
    </r>
    <r>
      <rPr>
        <sz val="11"/>
        <color theme="1"/>
        <rFont val="Arial"/>
      </rPr>
      <t xml:space="preserve"> Below is one way you could go about doing this.</t>
    </r>
  </si>
  <si>
    <r>
      <rPr>
        <sz val="10"/>
        <color theme="1"/>
        <rFont val="Arial"/>
      </rPr>
      <t xml:space="preserve">User: Please classify emails into the following categories, and do not include explanations: 
</t>
    </r>
    <r>
      <rPr>
        <sz val="10"/>
        <color rgb="FF9900FF"/>
        <rFont val="Arial"/>
      </rPr>
      <t xml:space="preserve">&lt;categories&gt;
(A) Pre-sale question
(B) Broken or defective item
(C) Billing question
(D) Other (please explain)
&lt;/categories&gt;
Here are a few examples of correct answer formatting:
&lt;examples&gt;
</t>
    </r>
    <r>
      <rPr>
        <sz val="10"/>
        <color rgb="FFFF9900"/>
        <rFont val="Arial"/>
      </rPr>
      <t>Q: How much does it cost to buy a Mixmaster4000?</t>
    </r>
    <r>
      <rPr>
        <sz val="10"/>
        <color rgb="FF9900FF"/>
        <rFont val="Arial"/>
      </rPr>
      <t xml:space="preserve">
</t>
    </r>
    <r>
      <rPr>
        <sz val="10"/>
        <color rgb="FF34A853"/>
        <rFont val="Arial"/>
      </rPr>
      <t xml:space="preserve">A: The correct category is: A
</t>
    </r>
    <r>
      <rPr>
        <sz val="10"/>
        <color rgb="FFFF9900"/>
        <rFont val="Arial"/>
      </rPr>
      <t>Q: My Mixmaster won't turn on.</t>
    </r>
    <r>
      <rPr>
        <sz val="10"/>
        <color rgb="FF9900FF"/>
        <rFont val="Arial"/>
      </rPr>
      <t xml:space="preserve">
</t>
    </r>
    <r>
      <rPr>
        <sz val="10"/>
        <color rgb="FF34A853"/>
        <rFont val="Arial"/>
      </rPr>
      <t xml:space="preserve">A: The correct category is: B
</t>
    </r>
    <r>
      <rPr>
        <sz val="10"/>
        <color rgb="FFFF9900"/>
        <rFont val="Arial"/>
      </rPr>
      <t>Q: Please remove me from your mailing list.</t>
    </r>
    <r>
      <rPr>
        <sz val="10"/>
        <color rgb="FF9900FF"/>
        <rFont val="Arial"/>
      </rPr>
      <t xml:space="preserve">
</t>
    </r>
    <r>
      <rPr>
        <sz val="10"/>
        <color rgb="FF34A853"/>
        <rFont val="Arial"/>
      </rPr>
      <t>A: The correct category is: D</t>
    </r>
    <r>
      <rPr>
        <sz val="10"/>
        <color rgb="FF9900FF"/>
        <rFont val="Arial"/>
      </rPr>
      <t xml:space="preserve">
&lt;/examples&gt;
Here is the email for you to categorize: {{EMAIL}}</t>
    </r>
    <r>
      <rPr>
        <sz val="10"/>
        <color theme="1"/>
        <rFont val="Arial"/>
      </rPr>
      <t xml:space="preserve">
Assistant: </t>
    </r>
    <r>
      <rPr>
        <sz val="10"/>
        <color rgb="FF34A853"/>
        <rFont val="Arial"/>
      </rPr>
      <t>The correct category is:</t>
    </r>
  </si>
  <si>
    <t>1. Have at least two example emails</t>
  </si>
  <si>
    <t>2. Have correct answer formatting</t>
  </si>
  <si>
    <t>4. Have {{EMAIL}} + categories</t>
  </si>
  <si>
    <t>← Chapter 7: Using Examples (Few-Shot Prompting)</t>
  </si>
  <si>
    <t>Chapter 8: Avoiding Hallucinations →</t>
  </si>
  <si>
    <r>
      <rPr>
        <sz val="11"/>
        <color rgb="FF1F1F1F"/>
        <rFont val="Arial"/>
      </rPr>
      <t xml:space="preserve">Some bad news: </t>
    </r>
    <r>
      <rPr>
        <b/>
        <sz val="11"/>
        <color rgb="FF1F1F1F"/>
        <rFont val="Arial"/>
      </rPr>
      <t>Claude sometimes "hallucinates"</t>
    </r>
    <r>
      <rPr>
        <sz val="11"/>
        <color rgb="FF1F1F1F"/>
        <rFont val="Arial"/>
      </rPr>
      <t xml:space="preserve"> </t>
    </r>
    <r>
      <rPr>
        <b/>
        <sz val="11"/>
        <color rgb="FF1F1F1F"/>
        <rFont val="Arial"/>
      </rPr>
      <t>and makes claims that are untrue or unjustified.</t>
    </r>
    <r>
      <rPr>
        <sz val="11"/>
        <color rgb="FF1F1F1F"/>
        <rFont val="Arial"/>
      </rPr>
      <t xml:space="preserve"> The good news: there are techniques you can use to minimize hallucinations.</t>
    </r>
  </si>
  <si>
    <t>Below, we'll go over a few of these techniques, namely:</t>
  </si>
  <si>
    <t>-</t>
  </si>
  <si>
    <t>Giving Claude the option to say it doesn't know the answer to a question</t>
  </si>
  <si>
    <t>Asking Claude to find evidence before answering</t>
  </si>
  <si>
    <r>
      <rPr>
        <sz val="11"/>
        <color rgb="FF1F1F1F"/>
        <rFont val="Arial"/>
      </rPr>
      <t xml:space="preserve">
However, </t>
    </r>
    <r>
      <rPr>
        <b/>
        <sz val="11"/>
        <color rgb="FF1F1F1F"/>
        <rFont val="Arial"/>
      </rPr>
      <t xml:space="preserve">there are many </t>
    </r>
    <r>
      <rPr>
        <b/>
        <u/>
        <sz val="11"/>
        <color rgb="FF1155CC"/>
        <rFont val="Arial"/>
      </rPr>
      <t>methods to avoid hallucinations</t>
    </r>
    <r>
      <rPr>
        <sz val="11"/>
        <color rgb="FF1F1F1F"/>
        <rFont val="Arial"/>
      </rPr>
      <t>, including many of the techniques you've already learned in this course. If Claude hallucinates, experiment with multiple techniques to get Claude to increase its accuracy.</t>
    </r>
  </si>
  <si>
    <r>
      <rPr>
        <sz val="11"/>
        <color theme="1"/>
        <rFont val="Arial"/>
      </rPr>
      <t xml:space="preserve">Here is a question about general factual knowledge in answer to which </t>
    </r>
    <r>
      <rPr>
        <u/>
        <sz val="11"/>
        <color theme="1"/>
        <rFont val="Arial"/>
      </rPr>
      <t>Claude hallucinates several large hippos because it's trying to be as helpful as possible</t>
    </r>
    <r>
      <rPr>
        <sz val="11"/>
        <color theme="1"/>
        <rFont val="Arial"/>
      </rPr>
      <t>.</t>
    </r>
  </si>
  <si>
    <t>User: Who is the heaviest hippo of all time?</t>
  </si>
  <si>
    <r>
      <rPr>
        <sz val="11"/>
        <color theme="1"/>
        <rFont val="Arial"/>
      </rPr>
      <t xml:space="preserve">A solution we can try here is to </t>
    </r>
    <r>
      <rPr>
        <u/>
        <sz val="11"/>
        <color theme="1"/>
        <rFont val="Arial"/>
      </rPr>
      <t>"give Claude an out"</t>
    </r>
    <r>
      <rPr>
        <sz val="11"/>
        <color theme="1"/>
        <rFont val="Arial"/>
      </rPr>
      <t xml:space="preserve"> — tell Claude that it's OK for it to decline to answer, or to only answer if it actually knows the answer with certainty.</t>
    </r>
  </si>
  <si>
    <t>User: Who is the heaviest hippo of all time? Only answer if you know the answer with certainty.</t>
  </si>
  <si>
    <r>
      <rPr>
        <sz val="11"/>
        <color theme="1"/>
        <rFont val="Arial"/>
      </rPr>
      <t xml:space="preserve">In the prompt below, we give Claude a long document containing some "distractor information" that is almost but not quite relevant to the user's question. </t>
    </r>
    <r>
      <rPr>
        <u/>
        <sz val="11"/>
        <color theme="1"/>
        <rFont val="Arial"/>
      </rPr>
      <t>Without prompting help, Claude falls for the distractor information</t>
    </r>
    <r>
      <rPr>
        <sz val="11"/>
        <color theme="1"/>
        <rFont val="Arial"/>
      </rPr>
      <t xml:space="preserve"> and gives an incorrect "hallucinated" answer as to the size of Matterport's subscriber base as of May 31, 2020.
</t>
    </r>
    <r>
      <rPr>
        <b/>
        <sz val="11"/>
        <color theme="1"/>
        <rFont val="Arial"/>
      </rPr>
      <t>Note:</t>
    </r>
    <r>
      <rPr>
        <sz val="11"/>
        <color theme="1"/>
        <rFont val="Arial"/>
      </rPr>
      <t xml:space="preserve"> As you'll learn later in the next chapter, </t>
    </r>
    <r>
      <rPr>
        <b/>
        <sz val="11"/>
        <color theme="1"/>
        <rFont val="Arial"/>
      </rPr>
      <t xml:space="preserve">it's best practice to have the question at the bottom </t>
    </r>
    <r>
      <rPr>
        <b/>
        <i/>
        <sz val="11"/>
        <color theme="1"/>
        <rFont val="Arial"/>
      </rPr>
      <t>after</t>
    </r>
    <r>
      <rPr>
        <b/>
        <sz val="11"/>
        <color theme="1"/>
        <rFont val="Arial"/>
      </rPr>
      <t xml:space="preserve"> any text or document</t>
    </r>
    <r>
      <rPr>
        <sz val="11"/>
        <color theme="1"/>
        <rFont val="Arial"/>
      </rPr>
      <t>, but we put it at the top here to make the prompt easier to read. Feel free to double click on the prompt cell to get the full prompt text (it's very long!).</t>
    </r>
  </si>
  <si>
    <r>
      <rPr>
        <sz val="10"/>
        <color theme="1"/>
        <rFont val="Arial"/>
      </rPr>
      <t xml:space="preserve">User: &lt;question&gt;What was Matterport's subscriber base on the precise date of May 31, 2020?&lt;/question&gt;
Please read the below document. Then write a brief numerical answer inside &lt;answer&gt; tags.
&lt;document&gt;
Matterport SEC filing 10-K 2023
Item 1. Business
Our Company
Matterport is leading the digitization and datafication of the built world. We believe the digital transformation of the built world will fundamentally change the way people interact with buildings and the physical spaces around them.
Since its founding in 2011, Matterport’s pioneering technology has set the standard for digitizing, accessing and managing buildings, spaces and places online. Our platform’s innovative software, spatial data-driven data science, and 3D capture technology have broken down the barriers that have kept the largest asset class in the world, buildings and physical spaces, offline and underutilized for many years. We believe the digitization and datafication of the built world will continue to unlock significant operational efficiencies and property values, and that Matterport is the platform to lead this enormous global transformation.
The world is rapidly moving from offline to online. Digital transformation has made a powerful and lasting impact across every business and industry today. According to International Data Corporation, or IDC, over $6.8 trillion of direct investments will be made on digital transformation from 2020 to 2023, the global digital transformation spending is forecasted to reach $3.4 trillion in 2026 with a five-year compound annual growth rate (“CAGR”) of 16.3%, and digital twin investments are expected to have a five-year CAGR of 35.2%. With this secular shift, there is also growing demand for the built world to transition from physical to digital. Nevertheless, the vast majority of buildings and spaces remain offline and undigitized. The global building stock, estimated by Savills to be $327 trillion in total property value as of 2021, remains largely offline today, and we estimate that less than 0.1% is penetrated by digital transformation.
Matterport was among the first to recognize the increasing need for digitization of the built world and the power of spatial data, the unique details underlying buildings and spaces, in facilitating the understanding of buildings and spaces. In the past, technology advanced physical road maps to the data-rich, digital maps and location services we all rely on today. Matterport now digitizes buildings, creating a data-rich environment to vastly increase our understanding and the full potential of each and every space we capture. Just as we can instantly, at the touch of a button, learn the fastest route from one city to another or locate the nearest coffee shops, Matterport’s spatial data for buildings unlocks a rich set of insights and learnings about properties and spaces worldwide. In addition, just as the geo-spatial mapping platforms of today have opened their mapping data to industry to create new business models such as ridesharing, e-commerce, food delivery marketplaces, and even short-term rental and home sharing, open access to Matterport’s structured spatial data is enabling new opportunities and business models for hospitality, facilities management, insurance, construction, real estate and retail, among others.
We believe the total addressable market opportunity for digitizing the built world is over $240 billion, and could be as high as $1 trillion as the market matures at scale. This is based on our analysis, modeling and understanding of the global building stock of over 4 billion properties and 20 billion spaces in the world today. With the help of artificial intelligence (“AI”), machine learning (“ML”) and deep learning (“DL”) technologies, we believe that, with the additional monetization opportunities from powerful spatial data-driven property insights and analytics, the total addressable market for the digitization and datafication of the built world will reach more than $1 trillion.
Our spatial data platform and capture of digital twins deliver value across a diverse set of industries and use cases. Large retailers can manage thousands of store locations remotely, real estate agencies can provide virtual open houses for hundreds of properties and thousands of visitors at the same time, property developers can monitor the entirety of the construction process with greater detail and speed, and insurance companies can more precisely document and evaluate claims and underwriting assessments with efficiency and precision. Matterport delivers the critical digital experience, tools and information that matter to our subscribers about properties of virtually any size, shape, and location worldwide.
For nearly a decade, we have been growing our spatial data platform and expanding our capabilities in order to create the most detailed, accurate, and data-rich digital twins available. Moreover, our 3D reconstruction process is fully automated, allowing our solution to scale with equal precision to millions of buildings and spaces of any type, shape, and size in the world. The universal applicability of our service provides Matterport significant scale and reach across diverse verticals and any geography. </t>
    </r>
    <r>
      <rPr>
        <b/>
        <sz val="10"/>
        <color theme="1"/>
        <rFont val="Arial"/>
      </rPr>
      <t>As of December 31, 2022, our subscriber base had grown approximately 39% to over 701,000 subscribers from 503,000 subscribers as of December 31, 2021</t>
    </r>
    <r>
      <rPr>
        <sz val="10"/>
        <color theme="1"/>
        <rFont val="Arial"/>
      </rPr>
      <t>, with our digital twins reaching more than 170 countries. We have digitized more than 28 billion square feet of space across multiple industries, representing significant scale and growth over the rest of the market.
As we continue to transform buildings into data worldwide, we are extending our spatial data platform to further transform property planning, development, management and intelligence for our subscribers across industries to become the de facto building and business intelligence engine for the built world. We believe the demand for spatial data and resulting insights for enterprises, businesses and institutions across industries, including real estate, architecture, engineering and construction (“AEC”), retail, insurance and government, will continue to grow rapidly.
We believe digitization and datafication represent a tremendous greenfield opportunity for growth across this massive category and asset class. From the early stages of design and development to marketing, operations, insurance and building repair and maintenance, our platform’s software and technology provide subscribers critical tools and insights to drive cost savings, increase revenues and optimally manage their buildings and spaces. We believe that hundreds of billions of dollars in unrealized utilization and operating efficiencies in the built world can be unlocked through the power of our spatial data platform. Our platform and data solutions have universal applicability across industries and building categories, giving Matterport a significant advantage as we can address the entirety of this large market opportunity and increase the value of what we believe to be the largest asset class in the world.
With a demonstrated track record of delivering value to our subscribers, our offerings include software subscription, data licensing, services and product hardware. As of December 31, 2022, our subscriber base included over 24% of Fortune 1000 companies, with less than 10% of our total revenue generated from our top 10 subscribers. We expect more than 80% of our revenue to come from our software subscription and data license solutions by 2025. Our innovative 3D capture products, the Pro2 and Pro3 Cameras, have played an integral part in shaping the 3D building and property visualization ecosystem. The Pro2 and Pro3 Cameras have driven adoption of our solutions and have generated the unique high-quality and scaled data set that has enabled Cortex, our proprietary AI software engine, to become the pioneering engine for digital twin creation. With this data advantage initially spurred by the Pro2 Camera, we have developed a capture device agnostic platform that scales and can generate new building and property insights for our subscribers across industries and geographies.
We have recently experienced rapid growth. Our subscribers have grown approximately 49-fold from December 31, 2018 to December 31, 2022. Our revenue increased by approximately 22% to $136.1 million for the year ended December 31, 2022, from approximately $111.2 million for the year ended December 31, 2021. Our gross profit decreased by $8.1 million or 14%, to $51.8 million for the year ended December 31, 2022, from $60.0 million for the year ended December 31, 2021, primarily attributable to certain disruptive and incremental costs due to the global supply chain constraints in fiscal year 2022. Our ability to retain and grow the subscription revenue generated by our existing subscribers is an important measure of the health of our business and our future growth prospects. We track our performance in this area by measuring our net dollar expansion rate from the same set of customers across comparable periods. Our net dollar expansion rate of 103% for the three months ended December 31, 2022 demonstrates the stickiness and growth potential of our platform.
Our Industry and Market Opportunity
Today, the vast majority of buildings and spaces remain undigitized. We estimate our current serviceable addressable market includes approximately 1.3 billion spaces worldwide, primarily from the real estate and travel and hospitality sectors. With approximately 9.2 million spaces under management as of December 31, 2022, we are continuing to penetrate the global building stock and expand our footprint across various end markets, including residential and commercial real estate, facilities management, retail, AEC, insurance and repair, and travel and hospitality. We estimate our total addressable market to be more than 4 billion buildings and 20 billion spaces globally, yielding a more than $240 billion market opportunity. We believe that as Matterport’s unique spatial data library and property data services continue to grow, this opportunity could increase to more than $1 trillion based on the size of the building stock and the untapped value creation available to buildings worldwide. The constraints created by the COVID-19 pandemic have only reinforced and accelerated the importance of our scaled 3D capture solution that we have developed for diverse industries and markets over the past decade.
Our Spatial Data Platform
Overview
Our technology platform uses spatial data collected from a wide variety of digital capture devices to transform physical buildings and spaces into dimensionally accurate, photorealistic digital twins that provide our subscribers access to previously unavailable building information and insights.
As a first mover in this massive market for nearly a decade, we have developed and scaled our industry-leading 3D reconstruction technology powered by Cortex, our proprietary AI-driven software engine that uses machine learning to recreate a photorealistic, 3D virtual representation of an entire building structure, including contents, equipment and furnishings. The finished product is a detailed and dynamic replication of the physical space that can be explored, analyzed and customized from a web browser on any device, including smartphones. The power to manage even large-scale commercial buildings is in the palm of each subscriber’s hands, made possible by our advanced technology and breakthrough innovations across our entire spatial data technology stack.
Key elements of our spatial data platform include:
•Bringing offline buildings online. Traditionally, our customers needed to conduct in-person site visits to understand and assess their buildings and spaces. While photographs and floor plans can be helpful, these forms of two-dimensional (“2D”) representation have limited information and tend to be static and rigid, and thus lack the interactive element critical to a holistic understanding of each building and space. With the AI-powered capabilities of Cortex, our proprietary AI software, representation of physical objects is no longer confined to static 2D images and physical visits can be eliminated. Cortex helps to move the buildings and spaces from offline to online and makes them accessible to our customers in real-time and on demand from anywhere. After subscribers scan their buildings, our visualization algorithms accurately infer spatial positions and depths from flat, 2D imagery captured through the scans and transform them into high- fidelity and precise digital twin models. This creates a fully automated image processing pipeline to ensure that each digital twin is of professional grade image quality.
•Driven by spatial data. We are a data-driven company. Each incremental capture of a space grows the richness and depth of our spatial data library. Spatial data represents the unique and idiosyncratic details that underlie and compose the buildings and spaces in the human- made environment. Cortex uses the breadth of the billions of data points we have accumulated over the years to improve the 3D accuracy of our digital twins. We help our subscribers pinpoint the height, location and other characteristics of objects in their digital twin. Our sophisticated algorithms also deliver significant commercial value to our subscribers by generating data-based insights that allow them to confidently make assessments and decisions about their properties. For instance, property developers can assess the amount of natural heat and daylight coming from specific windows, retailers can ensure each store layout is up to the same level of code and brand requirements, and factories can insure machinery layouts meet specifications and location guidelines. With approximately 9.2 million spaces under management as of December 31, 2022, our spatial data library is the clearinghouse for information about the built world.
•Powered by AI and ML. Artificial intelligence and machine learning technologies effectively utilize spatial data to create a robust virtual experience that is dynamic, realistic, interactive, informative and permits multiple viewing angles. AI and ML also make costly cameras unnecessary for everyday scans—subscribers can now scan their spaces by simply tapping a button on their smartphones. As a result, Matterport is a device agnostic platform, helping us more rapidly scale and drive towards our mission of digitizing and indexing the built world.
Our value proposition to subscribers is designed to serve the entirety of the digital building lifecycle, from design and build to maintenance and operations, promotion, sale, lease, insure, repair, restore, secure and finance. As a result, we believe we are uniquely positioned to grow our revenue with our subscribers as we help them to discover opportunities to drive short- and long-term return on investment by taking their buildings and spaces from offline to online across their portfolios of properties.
Ubiquitous Capture
Matterport has become the standard for 3D space capture. Our technology platform empowers subscribers worldwide to quickly, easily and accurately digitize, customize and manage interactive and dimensionally accurate digital twins of their buildings and spaces.
The Matterport platform is designed to work with a wide range of LiDAR, spherical, 3D and 360 cameras, as well as smartphones, to suit the capture needs of all of our subscribers. This provides the flexibility to capture a space of any size, scale, and complexity, at anytime and anywhere.
•Matterport Pro3 is our newest 3D camera that scans properties faster than earlier versions to help accelerate project completion. Pro3 provides the highest accuracy scans of both indoor and outdoor spaces and is designed for speed, fidelity, versatility and accuracy. Capturing 3D data up to 100 meters away at less than 20 seconds per sweep, Pro3’s ultra-fast, high-precision LiDAR sensor can run for hours and takes millions of measurements in any conditions.
•Matterport Pro2 is our proprietary 3D camera that has been used to capture millions of spaces around the world with a high degree of fidelity, precision, speed and simplicity. Capable of capturing buildings more than 500,000 square feet in size, it has become the camera of choice for many residential, commercial, industrial and large-scale properties.
•360 Cameras. Matterport supports a selection of 360 cameras available in the market. These affordable, pocket sized devices deliver precision captures with high fidelity and are appropriate for capturing smaller homes, condos, short-term rentals, apartments, and more. The spherical lens image capture technology of these devices gives Cortex robust, detailed image data to transform panoramas into our industry-leading digital twins.
•LEICA BLK360. Through our partnership with Leica, our 3D reconstruction technology and our AI powered software engine, Cortex, transform this powerful LiDAR camera into an ultra-precise capture device for creating Matterport digital twins. It is the solution of choice for AEC professionals when exacting precision is required.
•Smartphone Capture. Our capture apps are commercially available for both iOS and Android. Matterport’s smartphone capture solution has democratized 3D capture, making it easy and accessible for anyone to digitize buildings and spaces with a recent iPhone device since the initial introduction of Matterport for iPhone in May 2020. In April 2021, we announced the official release of the Android Capture app, giving Android users the ability to quickly and easily capture buildings and spaces in immersive 3D. In February 2022, we launched Matterport Axis, a motorized mount that holds a smartphone and can be used with the Matterport Capture app to capture 3D digital twins of any physical space with increased speed, precision, and consistency.
Cortex and 3D Reconstruction (the Matterport Digital Twin)
With a spatial data library, as of December 31, 2022, of approximately 9.2 million spaces under management, representing approximately 28 billion captured square feet of space, we use our advanced ML and DL technologies to algorithmically transform the spatial data we capture into an accurate 3D digital reproduction of any physical space. This intelligent, automated 3D reconstruction is made possible by Cortex, our AI-powered software engine that includes a deep learning neural network that uses our spatial data library to understand how a building or space is divided into floors and rooms, where the doorways and openings are located, and what types of rooms are present, such that those forms are compiled and aligned with dimensional accuracy into a dynamic, photorealistic digital twin. Other components of Cortex include AI-powered computer vision technologies to identify and classify the contents inside a building or space, and object recognition technologies to identify and segment everything from furnishings and equipment to doors, windows, light fixtures, fire suppression sprinklers and fire escapes. Our highly scalable artificial intelligence platform enables our subscribers to tap into powerful, enhanced building data and insights at the click of a button.
The Science Behind the Matterport Digital Twin: Cortex AI Highlights
Matterport Runs on Cortex
Cortex is our AI-powered software engine that includes a precision deep learning neural network to create digital twins of any building or space. Developed using our proprietary spatial data captured with our Pro2 and Pro3 cameras, Cortex delivers a high degree of precision and accuracy while enabling 3D capture using everyday devices.
Generic neural networks struggle with 3D reconstruction of the real world. Matterport-optimized networks deliver more accurate and robust results. More than just raw training data, Matterport’s datasets allow us to develop new neural network architectures and evaluate them against user behavior and real-world data in millions of situations.
•Deep learning: Connecting and optimizing the detailed neural network data architecture of each space is key to creating robust, highly accurate 3D digital twins. Cortex evaluates and optimizes each 3D model against Matterport’s rich spatial data aggregated from millions of buildings and spaces and the human annotations of those data provided by tens of thousands of subscribers worldwide. Cortex’s evaluative abilities and its data-driven optimization of 3D reconstruction yield consistent, high-precision results across a wide array of building configurations, spaces and environments.
•Dynamic 3D reconstruction: Creating precise 3D spatial data at scale from 2D visuals and static images requires a combination of photorealistic, detailed data from multiple viewpoints and millions of spaces that train and optimize Cortex’s neural network and learning capabilities for improved 3D reconstruction of any space. Cortex’s capabilities combined with real-time spatial alignment algorithms in our 3D capture technology create an intuitive “preview” of any work in progress, allowing subscribers to work with their content interactively and in real-time.
•Computer vision: Cortex enables a suite of powerful features to enhance the value of digital twins. These include automatic measurements for rooms or objects in a room, automatic 2D-from-3D high-definition photo gallery creation, auto face blurring for privacy protection, custom videos, walkthroughs, auto room labeling and object recognition.
•Advanced image processing: Matterport’s computational photography algorithms create a fully automated image processing pipeline to help ensure that each digital twin is of professional grade image quality. Our patented technology makes 3D capture as simple as pressing a single button. Matterport’s software and technology manage the remaining steps, including white balance and camera-specific color correction, high dynamic range tone mapping, de-noising, haze removal, sharpening, saturation and other adjustments to improve image quality.
Spatial Data and AI-Powered Insights
Every Matterport digital twin contains extensive information about a building, room or physical space. The data uses our AI-powered Cortex engine. In addition to the Matterport digital twin itself, our spatial data consists of precision building geometry and structural detail, building contents, fixtures and condition, along with high-definition imagery and photorealistic detail from many vantage points in a space. Cortex employs a technique we call deep spatial indexing. Deep spatial indexing uses artificial intelligence, computer vision and deep learning to identify and convey important details about each space, its structure and its contents with precision and fidelity. We have created a robust spatial data standard that enables Matterport subscribers to harness an interoperable digital system of record for any building.
In addition to creating a highly interactive digital experience for subscribers through the construction of digital twins, we ask ourselves two questions for every subscriber: (1) what is important about their building or physical space and (2) what learnings and insights can we deliver for this space? Our AI-powered Cortex engine helps us answer these questions using our spatial data library to provide aggregated property trends and operational and valuation insights. Moreover, as the Matterport platform ecosystem continues to expand, our subscribers, partners and other third-party developers can bring their own tools to further the breadth and depth of insights they can harvest from our rich spatial data layer.
Extensible Platform Ecosystem
Matterport offers the largest and most accurate library of spatial data in the world, with, as of December 31, 2022, approximately 9.2 million spaces under management and approximately 28 billion captured square feet. The versatility of our spatial data platform and extensive enterprise software development kit and application programming interfaces (“APIs”) has allowed us to develop a robust global ecosystem of channels and partners that extend the Matterport value proposition by geography and vertical market. We intend to continue to deploy a broad set of workflow integrations with our partners and their subscribers to promote an integrated Matterport solution across our target markets. We are also developing a third-party software marketplace to extend the power of our spatial data platform with easy-to-deploy and easy-to-access Matterport software add-ons. The marketplace enables developers to build new applications and spatial data mining tools, enhance the Matterport 3D experience, and create new productivity and property management tools that supplement our core offerings. These value-added capabilities created by third-party developers enable a scalable new revenue stream, with Matterport sharing the subscription and services revenue from each add-on that is deployed to subscribers through the online marketplace. The network effects of our platform ecosystem contributes to the growth of our business, and we believe that it will continue to bolster future growth by enhancing subscriber stickiness and user engagement.
Examples of Matterport add-ons and extensions include:
•Add-ons: Encircle (easy-to-use field documentation tools for faster claims processing); WP Matterport Shortcode (free Wordpress plugin that allows Matterport to be embedded quickly and easily with a Matterport shortcode), WP3D Models (WordPress + Matterport integration plugin); Rela (all-in-one marketing solution for listings); CAPTUR3D (all-in-one Content Management System that extends value to Matterport digital twins); Private Model Emded (feature that allows enterprises to privately share digital twins with a large group of employees on the corporate network without requiring additional user licenses); Views (new workgroup collaboration framework to enable groups and large organizations to create separate, permissions-based workflows to manage different tasks with different teams); and Guided Tours and Tags (tool to elevate the visitor experience by creating directed virtual tours of any commercial or residential space tailored to the interests of their visitors). We unveiled our private beta integration with Amazon Web Services (AWS) IoT TwinMaker to enable enterprise customers to seamlessly connect IoT data into visually immersive and dimensionally accurate Matterport digital twin.
•Services: Matterport ADA Compliant Digital Twin (solution to provide American Disability Act compliant digital twins) and Enterprise Cloud Software Platform (reimagined cloud software platform for the enterprise that creates, publishes, and manages digital twins of buildings and spaces of any size of shape, indoors or outdoors).
Our Competitive Strengths
We believe that we have a number of competitive strengths that will enable our market leadership to grow. Our competitive strengths include:
•Breadth and depth of the Matterport platform. Our core strength is our all-in-one spatial data platform with broad reach across diverse verticals and geographies such as capture to processing to industries without customization. With the ability to integrate seamlessly with various enterprise systems, our platform delivers value across the property lifecycle for diverse end markets, including real estate, AEC, travel and hospitality, repair and insurance, and industrial and facilities. As of December 31, 2022, our global reach extended to subscribers in more than 170 countries, including over 24% of Fortune 1000 companies.
•Market leadership and first-mover advantage. Matterport defined the category of digitizing and datafying the built world almost a decade ago, and we have become the global leader in the category. As of December 31, 2022, we had over 701,000 subscribers on our platform and approximately 9.2 million spaces under management. Our leadership is primarily driven by the fact that we were the first mover in digital twin creation. As a result of our first mover advantage, we have amassed a deep and rich library of spatial data that continues to compound and enhance our leadership position.
•Significant network effect. With each new capture and piece of data added to our platform, the richness of our dataset and the depth of insights from our spaces under management grow. In addition, the combination of our ability to turn data into insights with incremental data from new data captures by our subscribers enables Matterport to develop features for subscribers to our platform. We were a first mover in building a spatial data library for the built world, and our leadership in gathering and deriving insights from data continues to compound and the relevance of those insights attracts more new subscribers.
•Massive spatial data library as the raw material for valuable property insights. The scale of our spatial data library is a significant advantage in deriving insights for our subscribers. Our spatial data library serves as vital ground truth for Cortex, enabling Matterport to create powerful 3D digital twins using a wide range of camera technology, including low-cost digital and smartphone cameras. As of December 31, 2022, our data came from approximately 9.2 million spaces under management and approximately 28 billion captured square feet. As a result, we have taken property insights and analytics to new levels, benefiting subscribers across various industries. For example, facilities managers significantly reduce the time needed to create building layouts, leading to a significant decrease in the cost of site surveying and as-built modeling. AEC subscribers use the analytics of each as-built space to streamline documentation and collaborate with ease.
•Global reach and scale. We are focused on continuing to expand our AI-powered spatial data platform worldwide. We have a significant presence in North America, Europe and Asia, with leadership teams and a go-to-market infrastructure in each of these regions. We have offices in London, Singapore and several across the United States, and we are accelerating our international expansion. As of December 31, 2022, we had over 701,000 subscribers in more than 170 countries. We believe that the geography-agnostic nature of our spatial data platform is a significant advantage as we continue to grow internationally.
•Broad patent portfolio supporting 10 years of R&amp;D and innovation. As of December 31, 2022, we had 54 issued and 37 pending patent applications. Our success is based on almost 10 years of focus on innovation. Innovation has been at the center of Matterport, and we will continue to prioritize our investments in R&amp;D to further our market leading position.
•Superior capture technology. Matterport’s capture technology platform is a software framework that enables support for a wide variety of capture devices required to create a Matterport digital twin of a building or space.
This includes support for LiDAR cameras, 360 cameras, smartphones, Matterport Axis and the Matterport Pro2 and Pro3 cameras. The Pro2 camera was foundational to our spatial data advantage, and we have expanded that advantage with an array of Matterport-enabled third-party capture devices. In August 2022, we launched and began shipment of our Pro3 Camera along with major updates to our industry-leading digital twin cloud platform. The Matterport Pro3 Camera is an advanced 3D capture device, which includes faster boot time, swappable batteries, and a lighter design. The Pro3 camera can perform both indoors and outdoors and is designed for speed, fidelity, versatility and accuracy. Along with our Pro2 Camera, we expect that future sales of our Pro3 Camera will continue to drive increased adoption of our solutions. Matterport is democratizing the 3D capture experience, making high-fidelity and high-accuracy 3D digital twins readily available for any building type and any subscriber need in the property life cycle. While there are other 3D capture solution providers, very few can produce true, dimensionally accurate 3D results, and fewer still can automatically create a final product in photorealistic 3D, and at global scale. This expansive capture technology offering would not be possible without our rich spatial data library available to train the AI-powered Cortex engine to automatically generate accurate digital twins from photos captured with a smartphone or 360 camera.
&lt;/document&gt;</t>
    </r>
  </si>
  <si>
    <r>
      <rPr>
        <sz val="11"/>
        <color theme="1"/>
        <rFont val="Arial"/>
      </rPr>
      <t xml:space="preserve">How do we fix this? Well, </t>
    </r>
    <r>
      <rPr>
        <b/>
        <sz val="11"/>
        <color theme="1"/>
        <rFont val="Arial"/>
      </rPr>
      <t>a great way to reduce hallucinations on long documents is to make Claude gather evidence first</t>
    </r>
    <r>
      <rPr>
        <sz val="11"/>
        <color theme="1"/>
        <rFont val="Arial"/>
      </rPr>
      <t xml:space="preserve">. 
In this case, we </t>
    </r>
    <r>
      <rPr>
        <u/>
        <sz val="11"/>
        <color theme="1"/>
        <rFont val="Arial"/>
      </rPr>
      <t>tell Claude to first extract relevant quotes, then base its answer on those quotes</t>
    </r>
    <r>
      <rPr>
        <sz val="11"/>
        <color theme="1"/>
        <rFont val="Arial"/>
      </rPr>
      <t>. Telling Claude to do so here makes it correctly notice that the quote does not answer the question.</t>
    </r>
  </si>
  <si>
    <t>User: &lt;question&gt;What was Matterport's subscriber base on the precise date of May 31, 2020?&lt;/question&gt;
Please read the below document. Then, in &lt;scratchpad&gt; tags, pull the most relevant quote from the document and consider whether it answers the user's question or whether it lacks sufficient detail. Then write a brief numerical answer in &lt;answer&gt; tags.
&lt;document&gt;
Matterport SEC filing 10-K 2023
Item 1. Business
Our Company
Matterport is leading the digitization and datafication of the built world. We believe the digital transformation of the built world will fundamentally change the way people interact with buildings and the physical spaces around them.
Since its founding in 2011, Matterport’s pioneering technology has set the standard for digitizing, accessing and managing buildings, spaces and places online. Our platform’s innovative software, spatial data-driven data science, and 3D capture technology have broken down the barriers that have kept the largest asset class in the world, buildings and physical spaces, offline and underutilized for many years. We believe the digitization and datafication of the built world will continue to unlock significant operational efficiencies and property values, and that Matterport is the platform to lead this enormous global transformation.
The world is rapidly moving from offline to online. Digital transformation has made a powerful and lasting impact across every business and industry today. According to International Data Corporation, or IDC, over $6.8 trillion of direct investments will be made on digital transformation from 2020 to 2023, the global digital transformation spending is forecasted to reach $3.4 trillion in 2026 with a five-year compound annual growth rate (“CAGR”) of 16.3%, and digital twin investments are expected to have a five-year CAGR of 35.2%. With this secular shift, there is also growing demand for the built world to transition from physical to digital. Nevertheless, the vast majority of buildings and spaces remain offline and undigitized. The global building stock, estimated by Savills to be $327 trillion in total property value as of 2021, remains largely offline today, and we estimate that less than 0.1% is penetrated by digital transformation.
Matterport was among the first to recognize the increasing need for digitization of the built world and the power of spatial data, the unique details underlying buildings and spaces, in facilitating the understanding of buildings and spaces. In the past, technology advanced physical road maps to the data-rich, digital maps and location services we all rely on today. Matterport now digitizes buildings, creating a data-rich environment to vastly increase our understanding and the full potential of each and every space we capture. Just as we can instantly, at the touch of a button, learn the fastest route from one city to another or locate the nearest coffee shops, Matterport’s spatial data for buildings unlocks a rich set of insights and learnings about properties and spaces worldwide. In addition, just as the geo-spatial mapping platforms of today have opened their mapping data to industry to create new business models such as ridesharing, e-commerce, food delivery marketplaces, and even short-term rental and home sharing, open access to Matterport’s structured spatial data is enabling new opportunities and business models for hospitality, facilities management, insurance, construction, real estate and retail, among others.
We believe the total addressable market opportunity for digitizing the built world is over $240 billion, and could be as high as $1 trillion as the market matures at scale. This is based on our analysis, modeling and understanding of the global building stock of over 4 billion properties and 20 billion spaces in the world today. With the help of artificial intelligence (“AI”), machine learning (“ML”) and deep learning (“DL”) technologies, we believe that, with the additional monetization opportunities from powerful spatial data-driven property insights and analytics, the total addressable market for the digitization and datafication of the built world will reach more than $1 trillion.
Our spatial data platform and capture of digital twins deliver value across a diverse set of industries and use cases. Large retailers can manage thousands of store locations remotely, real estate agencies can provide virtual open houses for hundreds of properties and thousands of visitors at the same time, property developers can monitor the entirety of the construction process with greater detail and speed, and insurance companies can more precisely document and evaluate claims and underwriting assessments with efficiency and precision. Matterport delivers the critical digital experience, tools and information that matter to our subscribers about properties of virtually any size, shape, and location worldwide.
For nearly a decade, we have been growing our spatial data platform and expanding our capabilities in order to create the most detailed, accurate, and data-rich digital twins available. Moreover, our 3D reconstruction process is fully automated, allowing our solution to scale with equal precision to millions of buildings and spaces of any type, shape, and size in the world. The universal applicability of our service provides Matterport significant scale and reach across diverse verticals and any geography. As of December 31, 2022, our subscriber base had grown approximately 39% to over 701,000 subscribers from 503,000 subscribers as of December 31, 2021, with our digital twins reaching more than 170 countries. We have digitized more than 28 billion square feet of space across multiple industries, representing significant scale and growth over the rest of the market.
As we continue to transform buildings into data worldwide, we are extending our spatial data platform to further transform property planning, development, management and intelligence for our subscribers across industries to become the de facto building and business intelligence engine for the built world. We believe the demand for spatial data and resulting insights for enterprises, businesses and institutions across industries, including real estate, architecture, engineering and construction (“AEC”), retail, insurance and government, will continue to grow rapidly.
We believe digitization and datafication represent a tremendous greenfield opportunity for growth across this massive category and asset class. From the early stages of design and development to marketing, operations, insurance and building repair and maintenance, our platform’s software and technology provide subscribers critical tools and insights to drive cost savings, increase revenues and optimally manage their buildings and spaces. We believe that hundreds of billions of dollars in unrealized utilization and operating efficiencies in the built world can be unlocked through the power of our spatial data platform. Our platform and data solutions have universal applicability across industries and building categories, giving Matterport a significant advantage as we can address the entirety of this large market opportunity and increase the value of what we believe to be the largest asset class in the world.
With a demonstrated track record of delivering value to our subscribers, our offerings include software subscription, data licensing, services and product hardware. As of December 31, 2022, our subscriber base included over 24% of Fortune 1000 companies, with less than 10% of our total revenue generated from our top 10 subscribers. We expect more than 80% of our revenue to come from our software subscription and data license solutions by 2025. Our innovative 3D capture products, the Pro2 and Pro3 Cameras, have played an integral part in shaping the 3D building and property visualization ecosystem. The Pro2 and Pro3 Cameras have driven adoption of our solutions and have generated the unique high-quality and scaled data set that has enabled Cortex, our proprietary AI software engine, to become the pioneering engine for digital twin creation. With this data advantage initially spurred by the Pro2 Camera, we have developed a capture device agnostic platform that scales and can generate new building and property insights for our subscribers across industries and geographies.
We have recently experienced rapid growth. Our subscribers have grown approximately 49-fold from December 31, 2018 to December 31, 2022. Our revenue increased by approximately 22% to $136.1 million for the year ended December 31, 2022, from approximately $111.2 million for the year ended December 31, 2021. Our gross profit decreased by $8.1 million or 14%, to $51.8 million for the year ended December 31, 2022, from $60.0 million for the year ended December 31, 2021, primarily attributable to certain disruptive and incremental costs due to the global supply chain constraints in fiscal year 2022. Our ability to retain and grow the subscription revenue generated by our existing subscribers is an important measure of the health of our business and our future growth prospects. We track our performance in this area by measuring our net dollar expansion rate from the same set of customers across comparable periods. Our net dollar expansion rate of 103% for the three months ended December 31, 2022 demonstrates the stickiness and growth potential of our platform.
Our Industry and Market Opportunity
Today, the vast majority of buildings and spaces remain undigitized. We estimate our current serviceable addressable market includes approximately 1.3 billion spaces worldwide, primarily from the real estate and travel and hospitality sectors. With approximately 9.2 million spaces under management as of December 31, 2022, we are continuing to penetrate the global building stock and expand our footprint across various end markets, including residential and commercial real estate, facilities management, retail, AEC, insurance and repair, and travel and hospitality. We estimate our total addressable market to be more than 4 billion buildings and 20 billion spaces globally, yielding a more than $240 billion market opportunity. We believe that as Matterport’s unique spatial data library and property data services continue to grow, this opportunity could increase to more than $1 trillion based on the size of the building stock and the untapped value creation available to buildings worldwide. The constraints created by the COVID-19 pandemic have only reinforced and accelerated the importance of our scaled 3D capture solution that we have developed for diverse industries and markets over the past decade.
Our Spatial Data Platform
Overview
Our technology platform uses spatial data collected from a wide variety of digital capture devices to transform physical buildings and spaces into dimensionally accurate, photorealistic digital twins that provide our subscribers access to previously unavailable building information and insights.
As a first mover in this massive market for nearly a decade, we have developed and scaled our industry-leading 3D reconstruction technology powered by Cortex, our proprietary AI-driven software engine that uses machine learning to recreate a photorealistic, 3D virtual representation of an entire building structure, including contents, equipment and furnishings. The finished product is a detailed and dynamic replication of the physical space that can be explored, analyzed and customized from a web browser on any device, including smartphones. The power to manage even large-scale commercial buildings is in the palm of each subscriber’s hands, made possible by our advanced technology and breakthrough innovations across our entire spatial data technology stack.
Key elements of our spatial data platform include:
•Bringing offline buildings online. Traditionally, our customers needed to conduct in-person site visits to understand and assess their buildings and spaces. While photographs and floor plans can be helpful, these forms of two-dimensional (“2D”) representation have limited information and tend to be static and rigid, and thus lack the interactive element critical to a holistic understanding of each building and space. With the AI-powered capabilities of Cortex, our proprietary AI software, representation of physical objects is no longer confined to static 2D images and physical visits can be eliminated. Cortex helps to move the buildings and spaces from offline to online and makes them accessible to our customers in real-time and on demand from anywhere. After subscribers scan their buildings, our visualization algorithms accurately infer spatial positions and depths from flat, 2D imagery captured through the scans and transform them into high- fidelity and precise digital twin models. This creates a fully automated image processing pipeline to ensure that each digital twin is of professional grade image quality.
•Driven by spatial data. We are a data-driven company. Each incremental capture of a space grows the richness and depth of our spatial data library. Spatial data represents the unique and idiosyncratic details that underlie and compose the buildings and spaces in the human- made environment. Cortex uses the breadth of the billions of data points we have accumulated over the years to improve the 3D accuracy of our digital twins. We help our subscribers pinpoint the height, location and other characteristics of objects in their digital twin. Our sophisticated algorithms also deliver significant commercial value to our subscribers by generating data-based insights that allow them to confidently make assessments and decisions about their properties. For instance, property developers can assess the amount of natural heat and daylight coming from specific windows, retailers can ensure each store layout is up to the same level of code and brand requirements, and factories can insure machinery layouts meet specifications and location guidelines. With approximately 9.2 million spaces under management as of December 31, 2022, our spatial data library is the clearinghouse for information about the built world.
•Powered by AI and ML. Artificial intelligence and machine learning technologies effectively utilize spatial data to create a robust virtual experience that is dynamic, realistic, interactive, informative and permits multiple viewing angles. AI and ML also make costly cameras unnecessary for everyday scans—subscribers can now scan their spaces by simply tapping a button on their smartphones. As a result, Matterport is a device agnostic platform, helping us more rapidly scale and drive towards our mission of digitizing and indexing the built world.
Our value proposition to subscribers is designed to serve the entirety of the digital building lifecycle, from design and build to maintenance and operations, promotion, sale, lease, insure, repair, restore, secure and finance. As a result, we believe we are uniquely positioned to grow our revenue with our subscribers as we help them to discover opportunities to drive short- and long-term return on investment by taking their buildings and spaces from offline to online across their portfolios of properties.
Ubiquitous Capture
Matterport has become the standard for 3D space capture. Our technology platform empowers subscribers worldwide to quickly, easily and accurately digitize, customize and manage interactive and dimensionally accurate digital twins of their buildings and spaces.
The Matterport platform is designed to work with a wide range of LiDAR, spherical, 3D and 360 cameras, as well as smartphones, to suit the capture needs of all of our subscribers. This provides the flexibility to capture a space of any size, scale, and complexity, at anytime and anywhere.
•Matterport Pro3 is our newest 3D camera that scans properties faster than earlier versions to help accelerate project completion. Pro3 provides the highest accuracy scans of both indoor and outdoor spaces and is designed for speed, fidelity, versatility and accuracy. Capturing 3D data up to 100 meters away at less than 20 seconds per sweep, Pro3’s ultra-fast, high-precision LiDAR sensor can run for hours and takes millions of measurements in any conditions.
•Matterport Pro2 is our proprietary 3D camera that has been used to capture millions of spaces around the world with a high degree of fidelity, precision, speed and simplicity. Capable of capturing buildings more than 500,000 square feet in size, it has become the camera of choice for many residential, commercial, industrial and large-scale properties.
•360 Cameras. Matterport supports a selection of 360 cameras available in the market. These affordable, pocket sized devices deliver precision captures with high fidelity and are appropriate for capturing smaller homes, condos, short-term rentals, apartments, and more. The spherical lens image capture technology of these devices gives Cortex robust, detailed image data to transform panoramas into our industry-leading digital twins.
•LEICA BLK360. Through our partnership with Leica, our 3D reconstruction technology and our AI powered software engine, Cortex, transform this powerful LiDAR camera into an ultra-precise capture device for creating Matterport digital twins. It is the solution of choice for AEC professionals when exacting precision is required.
•Smartphone Capture. Our capture apps are commercially available for both iOS and Android. Matterport’s smartphone capture solution has democratized 3D capture, making it easy and accessible for anyone to digitize buildings and spaces with a recent iPhone device since the initial introduction of Matterport for iPhone in May 2020. In April 2021, we announced the official release of the Android Capture app, giving Android users the ability to quickly and easily capture buildings and spaces in immersive 3D. In February 2022, we launched Matterport Axis, a motorized mount that holds a smartphone and can be used with the Matterport Capture app to capture 3D digital twins of any physical space with increased speed, precision, and consistency.
Cortex and 3D Reconstruction (the Matterport Digital Twin)
With a spatial data library, as of December 31, 2022, of approximately 9.2 million spaces under management, representing approximately 28 billion captured square feet of space, we use our advanced ML and DL technologies to algorithmically transform the spatial data we capture into an accurate 3D digital reproduction of any physical space. This intelligent, automated 3D reconstruction is made possible by Cortex, our AI-powered software engine that includes a deep learning neural network that uses our spatial data library to understand how a building or space is divided into floors and rooms, where the doorways and openings are located, and what types of rooms are present, such that those forms are compiled and aligned with dimensional accuracy into a dynamic, photorealistic digital twin. Other components of Cortex include AI-powered computer vision technologies to identify and classify the contents inside a building or space, and object recognition technologies to identify and segment everything from furnishings and equipment to doors, windows, light fixtures, fire suppression sprinklers and fire escapes. Our highly scalable artificial intelligence platform enables our subscribers to tap into powerful, enhanced building data and insights at the click of a button.
The Science Behind the Matterport Digital Twin: Cortex AI Highlights
Matterport Runs on Cortex
Cortex is our AI-powered software engine that includes a precision deep learning neural network to create digital twins of any building or space. Developed using our proprietary spatial data captured with our Pro2 and Pro3 cameras, Cortex delivers a high degree of precision and accuracy while enabling 3D capture using everyday devices.
Generic neural networks struggle with 3D reconstruction of the real world. Matterport-optimized networks deliver more accurate and robust results. More than just raw training data, Matterport’s datasets allow us to develop new neural network architectures and evaluate them against user behavior and real-world data in millions of situations.
•Deep learning: Connecting and optimizing the detailed neural network data architecture of each space is key to creating robust, highly accurate 3D digital twins. Cortex evaluates and optimizes each 3D model against Matterport’s rich spatial data aggregated from millions of buildings and spaces and the human annotations of those data provided by tens of thousands of subscribers worldwide. Cortex’s evaluative abilities and its data-driven optimization of 3D reconstruction yield consistent, high-precision results across a wide array of building configurations, spaces and environments.
•Dynamic 3D reconstruction: Creating precise 3D spatial data at scale from 2D visuals and static images requires a combination of photorealistic, detailed data from multiple viewpoints and millions of spaces that train and optimize Cortex’s neural network and learning capabilities for improved 3D reconstruction of any space. Cortex’s capabilities combined with real-time spatial alignment algorithms in our 3D capture technology create an intuitive “preview” of any work in progress, allowing subscribers to work with their content interactively and in real-time.
•Computer vision: Cortex enables a suite of powerful features to enhance the value of digital twins. These include automatic measurements for rooms or objects in a room, automatic 2D-from-3D high-definition photo gallery creation, auto face blurring for privacy protection, custom videos, walkthroughs, auto room labeling and object recognition.
•Advanced image processing: Matterport’s computational photography algorithms create a fully automated image processing pipeline to help ensure that each digital twin is of professional grade image quality. Our patented technology makes 3D capture as simple as pressing a single button. Matterport’s software and technology manage the remaining steps, including white balance and camera-specific color correction, high dynamic range tone mapping, de-noising, haze removal, sharpening, saturation and other adjustments to improve image quality.
Spatial Data and AI-Powered Insights
Every Matterport digital twin contains extensive information about a building, room or physical space. The data uses our AI-powered Cortex engine. In addition to the Matterport digital twin itself, our spatial data consists of precision building geometry and structural detail, building contents, fixtures and condition, along with high-definition imagery and photorealistic detail from many vantage points in a space. Cortex employs a technique we call deep spatial indexing. Deep spatial indexing uses artificial intelligence, computer vision and deep learning to identify and convey important details about each space, its structure and its contents with precision and fidelity. We have created a robust spatial data standard that enables Matterport subscribers to harness an interoperable digital system of record for any building.
In addition to creating a highly interactive digital experience for subscribers through the construction of digital twins, we ask ourselves two questions for every subscriber: (1) what is important about their building or physical space and (2) what learnings and insights can we deliver for this space? Our AI-powered Cortex engine helps us answer these questions using our spatial data library to provide aggregated property trends and operational and valuation insights. Moreover, as the Matterport platform ecosystem continues to expand, our subscribers, partners and other third-party developers can bring their own tools to further the breadth and depth of insights they can harvest from our rich spatial data layer.
Extensible Platform Ecosystem
Matterport offers the largest and most accurate library of spatial data in the world, with, as of December 31, 2022, approximately 9.2 million spaces under management and approximately 28 billion captured square feet. The versatility of our spatial data platform and extensive enterprise software development kit and application programming interfaces (“APIs”) has allowed us to develop a robust global ecosystem of channels and partners that extend the Matterport value proposition by geography and vertical market. We intend to continue to deploy a broad set of workflow integrations with our partners and their subscribers to promote an integrated Matterport solution across our target markets. We are also developing a third-party software marketplace to extend the power of our spatial data platform with easy-to-deploy and easy-to-access Matterport software add-ons. The marketplace enables developers to build new applications and spatial data mining tools, enhance the Matterport 3D experience, and create new productivity and property management tools that supplement our core offerings. These value-added capabilities created by third-party developers enable a scalable new revenue stream, with Matterport sharing the subscription and services revenue from each add-on that is deployed to subscribers through the online marketplace. The network effects of our platform ecosystem contributes to the growth of our business, and we believe that it will continue to bolster future growth by enhancing subscriber stickiness and user engagement.
Examples of Matterport add-ons and extensions include:
•Add-ons: Encircle (easy-to-use field documentation tools for faster claims processing); WP Matterport Shortcode (free Wordpress plugin that allows Matterport to be embedded quickly and easily with a Matterport shortcode), WP3D Models (WordPress + Matterport integration plugin); Rela (all-in-one marketing solution for listings); CAPTUR3D (all-in-one Content Management System that extends value to Matterport digital twins); Private Model Emded (feature that allows enterprises to privately share digital twins with a large group of employees on the corporate network without requiring additional user licenses); Views (new workgroup collaboration framework to enable groups and large organizations to create separate, permissions-based workflows to manage different tasks with different teams); and Guided Tours and Tags (tool to elevate the visitor experience by creating directed virtual tours of any commercial or residential space tailored to the interests of their visitors). We unveiled our private beta integration with Amazon Web Services (AWS) IoT TwinMaker to enable enterprise customers to seamlessly connect IoT data into visually immersive and dimensionally accurate Matterport digital twin.
•Services: Matterport ADA Compliant Digital Twin (solution to provide American Disability Act compliant digital twins) and Enterprise Cloud Software Platform (reimagined cloud software platform for the enterprise that creates, publishes, and manages digital twins of buildings and spaces of any size of shape, indoors or outdoors).
Our Competitive Strengths
We believe that we have a number of competitive strengths that will enable our market leadership to grow. Our competitive strengths include:
•Breadth and depth of the Matterport platform. Our core strength is our all-in-one spatial data platform with broad reach across diverse verticals and geographies such as capture to processing to industries without customization. With the ability to integrate seamlessly with various enterprise systems, our platform delivers value across the property lifecycle for diverse end markets, including real estate, AEC, travel and hospitality, repair and insurance, and industrial and facilities. As of December 31, 2022, our global reach extended to subscribers in more than 170 countries, including over 24% of Fortune 1000 companies.
•Market leadership and first-mover advantage. Matterport defined the category of digitizing and datafying the built world almost a decade ago, and we have become the global leader in the category. As of December 31, 2022, we had over 701,000 subscribers on our platform and approximately 9.2 million spaces under management. Our leadership is primarily driven by the fact that we were the first mover in digital twin creation. As a result of our first mover advantage, we have amassed a deep and rich library of spatial data that continues to compound and enhance our leadership position.
•Significant network effect. With each new capture and piece of data added to our platform, the richness of our dataset and the depth of insights from our spaces under management grow. In addition, the combination of our ability to turn data into insights with incremental data from new data captures by our subscribers enables Matterport to develop features for subscribers to our platform. We were a first mover in building a spatial data library for the built world, and our leadership in gathering and deriving insights from data continues to compound and the relevance of those insights attracts more new subscribers.
•Massive spatial data library as the raw material for valuable property insights. The scale of our spatial data library is a significant advantage in deriving insights for our subscribers. Our spatial data library serves as vital ground truth for Cortex, enabling Matterport to create powerful 3D digital twins using a wide range of camera technology, including low-cost digital and smartphone cameras. As of December 31, 2022, our data came from approximately 9.2 million spaces under management and approximately 28 billion captured square feet. As a result, we have taken property insights and analytics to new levels, benefiting subscribers across various industries. For example, facilities managers significantly reduce the time needed to create building layouts, leading to a significant decrease in the cost of site surveying and as-built modeling. AEC subscribers use the analytics of each as-built space to streamline documentation and collaborate with ease.
•Global reach and scale. We are focused on continuing to expand our AI-powered spatial data platform worldwide. We have a significant presence in North America, Europe and Asia, with leadership teams and a go-to-market infrastructure in each of these regions. We have offices in London, Singapore and several across the United States, and we are accelerating our international expansion. As of December 31, 2022, we had over 701,000 subscribers in more than 170 countries. We believe that the geography-agnostic nature of our spatial data platform is a significant advantage as we continue to grow internationally.
•Broad patent portfolio supporting 10 years of R&amp;D and innovation. As of December 31, 2022, we had 54 issued and 37 pending patent applications. Our success is based on almost 10 years of focus on innovation. Innovation has been at the center of Matterport, and we will continue to prioritize our investments in R&amp;D to further our market leading position.
•Superior capture technology. Matterport’s capture technology platform is a software framework that enables support for a wide variety of capture devices required to create a Matterport digital twin of a building or space.
This includes support for LiDAR cameras, 360 cameras, smartphones, Matterport Axis and the Matterport Pro2 and Pro3 cameras. The Pro2 camera was foundational to our spatial data advantage, and we have expanded that advantage with an array of Matterport-enabled third-party capture devices. In August 2022, we launched and began shipment of our Pro3 Camera along with major updates to our industry-leading digital twin cloud platform. The Matterport Pro3 Camera is an advanced 3D capture device, which includes faster boot time, swappable batteries, and a lighter design. The Pro3 camera can perform both indoors and outdoors and is designed for speed, fidelity, versatility and accuracy. Along with our Pro2 Camera, we expect that future sales of our Pro3 Camera will continue to drive increased adoption of our solutions. Matterport is democratizing the 3D capture experience, making high-fidelity and high-accuracy 3D digital twins readily available for any building type and any subscriber need in the property life cycle. While there are other 3D capture solution providers, very few can produce true, dimensionally accurate 3D results, and fewer still can automatically create a final product in photorealistic 3D, and at global scale. This expansive capture technology offering would not be possible without our rich spatial data library available to train the AI-powered Cortex engine to automatically generate accurate digital twins from photos captured with a smartphone or 360 camer</t>
  </si>
  <si>
    <r>
      <rPr>
        <b/>
        <sz val="11"/>
        <rFont val="Arial"/>
      </rPr>
      <t>Bonus lesson:</t>
    </r>
    <r>
      <rPr>
        <sz val="11"/>
        <rFont val="Arial"/>
      </rPr>
      <t xml:space="preserve"> Sometimes, </t>
    </r>
    <r>
      <rPr>
        <b/>
        <sz val="11"/>
        <rFont val="Arial"/>
      </rPr>
      <t>Claude's hallucinations can be solved by lowering the "temperature" of Claude's responses</t>
    </r>
    <r>
      <rPr>
        <sz val="11"/>
        <rFont val="Arial"/>
      </rPr>
      <t xml:space="preserve">. </t>
    </r>
    <r>
      <rPr>
        <u/>
        <sz val="11"/>
        <rFont val="Arial"/>
      </rPr>
      <t>Temperature is a measurement of answer creativity between 0 and 1</t>
    </r>
    <r>
      <rPr>
        <sz val="11"/>
        <rFont val="Arial"/>
      </rPr>
      <t xml:space="preserve">, with 1 being more unpredictable and less standardized, and 0 being the most consistent. 
Asking Claude something at temperature 0 will generally yield an almost-deterministic answer set across repeated trials (although complete determinism is not guaranteed). Asking Claude something at temperature 1 (or gradations in between) will yield more variable answers. Learn more about temperature and other parameters </t>
    </r>
    <r>
      <rPr>
        <u/>
        <sz val="11"/>
        <color rgb="FF1155CC"/>
        <rFont val="Arial"/>
      </rPr>
      <t>here</t>
    </r>
    <r>
      <rPr>
        <sz val="11"/>
        <rFont val="Arial"/>
      </rPr>
      <t>.</t>
    </r>
  </si>
  <si>
    <r>
      <rPr>
        <sz val="11"/>
        <color theme="1"/>
        <rFont val="Arial"/>
      </rPr>
      <t xml:space="preserve">If you're ready to </t>
    </r>
    <r>
      <rPr>
        <u/>
        <sz val="11"/>
        <color theme="1"/>
        <rFont val="Arial"/>
      </rPr>
      <t>try the chapter exercises, click the link below</t>
    </r>
    <r>
      <rPr>
        <sz val="11"/>
        <color theme="1"/>
        <rFont val="Arial"/>
      </rPr>
      <t>. If you want to play around with any of the examples in this lesson, scroll down!</t>
    </r>
  </si>
  <si>
    <t>Chapter 8 Exercises: Avoiding Hallucinations →</t>
  </si>
  <si>
    <r>
      <rPr>
        <sz val="11"/>
        <color theme="1"/>
        <rFont val="Arial"/>
      </rPr>
      <t xml:space="preserve">This is an area for you to </t>
    </r>
    <r>
      <rPr>
        <u/>
        <sz val="11"/>
        <color theme="1"/>
        <rFont val="Arial"/>
      </rPr>
      <t>experiment freely with the prompt examples shown in this lesson</t>
    </r>
    <r>
      <rPr>
        <sz val="11"/>
        <color theme="1"/>
        <rFont val="Arial"/>
      </rPr>
      <t xml:space="preserve">. Feel free to tweak prompts to see how it may affect Claude's responses.
</t>
    </r>
    <r>
      <rPr>
        <b/>
        <sz val="11"/>
        <color theme="1"/>
        <rFont val="Arial"/>
      </rPr>
      <t>Note:</t>
    </r>
    <r>
      <rPr>
        <sz val="11"/>
        <color theme="1"/>
        <rFont val="Arial"/>
      </rPr>
      <t xml:space="preserve"> The colors in the cells, which have been carried over from above, will not change even if the prompt or Claude's response changes.</t>
    </r>
  </si>
  <si>
    <r>
      <rPr>
        <sz val="10"/>
        <color theme="1"/>
        <rFont val="Arial"/>
      </rPr>
      <t xml:space="preserve">User: &lt;question&gt;What was Matterport's subscriber base on the precise date of May 31, 2020?&lt;/question&gt;
Please read the below document. Then write a brief numerical answer inside &lt;answer&gt; tags.
&lt;document&gt;
Matterport SEC filing 10-K 2023
Item 1. Business
Our Company
Matterport is leading the digitization and datafication of the built world. We believe the digital transformation of the built world will fundamentally change the way people interact with buildings and the physical spaces around them.
Since its founding in 2011, Matterport’s pioneering technology has set the standard for digitizing, accessing and managing buildings, spaces and places online. Our platform’s innovative software, spatial data-driven data science, and 3D capture technology have broken down the barriers that have kept the largest asset class in the world, buildings and physical spaces, offline and underutilized for many years. We believe the digitization and datafication of the built world will continue to unlock significant operational efficiencies and property values, and that Matterport is the platform to lead this enormous global transformation.
The world is rapidly moving from offline to online. Digital transformation has made a powerful and lasting impact across every business and industry today. According to International Data Corporation, or IDC, over $6.8 trillion of direct investments will be made on digital transformation from 2020 to 2023, the global digital transformation spending is forecasted to reach $3.4 trillion in 2026 with a five-year compound annual growth rate (“CAGR”) of 16.3%, and digital twin investments are expected to have a five-year CAGR of 35.2%. With this secular shift, there is also growing demand for the built world to transition from physical to digital. Nevertheless, the vast majority of buildings and spaces remain offline and undigitized. The global building stock, estimated by Savills to be $327 trillion in total property value as of 2021, remains largely offline today, and we estimate that less than 0.1% is penetrated by digital transformation.
Matterport was among the first to recognize the increasing need for digitization of the built world and the power of spatial data, the unique details underlying buildings and spaces, in facilitating the understanding of buildings and spaces. In the past, technology advanced physical road maps to the data-rich, digital maps and location services we all rely on today. Matterport now digitizes buildings, creating a data-rich environment to vastly increase our understanding and the full potential of each and every space we capture. Just as we can instantly, at the touch of a button, learn the fastest route from one city to another or locate the nearest coffee shops, Matterport’s spatial data for buildings unlocks a rich set of insights and learnings about properties and spaces worldwide. In addition, just as the geo-spatial mapping platforms of today have opened their mapping data to industry to create new business models such as ridesharing, e-commerce, food delivery marketplaces, and even short-term rental and home sharing, open access to Matterport’s structured spatial data is enabling new opportunities and business models for hospitality, facilities management, insurance, construction, real estate and retail, among others.
We believe the total addressable market opportunity for digitizing the built world is over $240 billion, and could be as high as $1 trillion as the market matures at scale. This is based on our analysis, modeling and understanding of the global building stock of over 4 billion properties and 20 billion spaces in the world today. With the help of artificial intelligence (“AI”), machine learning (“ML”) and deep learning (“DL”) technologies, we believe that, with the additional monetization opportunities from powerful spatial data-driven property insights and analytics, the total addressable market for the digitization and datafication of the built world will reach more than $1 trillion.
Our spatial data platform and capture of digital twins deliver value across a diverse set of industries and use cases. Large retailers can manage thousands of store locations remotely, real estate agencies can provide virtual open houses for hundreds of properties and thousands of visitors at the same time, property developers can monitor the entirety of the construction process with greater detail and speed, and insurance companies can more precisely document and evaluate claims and underwriting assessments with efficiency and precision. Matterport delivers the critical digital experience, tools and information that matter to our subscribers about properties of virtually any size, shape, and location worldwide.
For nearly a decade, we have been growing our spatial data platform and expanding our capabilities in order to create the most detailed, accurate, and data-rich digital twins available. Moreover, our 3D reconstruction process is fully automated, allowing our solution to scale with equal precision to millions of buildings and spaces of any type, shape, and size in the world. The universal applicability of our service provides Matterport significant scale and reach across diverse verticals and any geography. </t>
    </r>
    <r>
      <rPr>
        <b/>
        <sz val="10"/>
        <color theme="1"/>
        <rFont val="Arial"/>
      </rPr>
      <t>As of December 31, 2022, our subscriber base had grown approximately 39% to over 701,000 subscribers from 503,000 subscribers as of December 31, 2021</t>
    </r>
    <r>
      <rPr>
        <sz val="10"/>
        <color theme="1"/>
        <rFont val="Arial"/>
      </rPr>
      <t>, with our digital twins reaching more than 170 countries. We have digitized more than 28 billion square feet of space across multiple industries, representing significant scale and growth over the rest of the market.
As we continue to transform buildings into data worldwide, we are extending our spatial data platform to further transform property planning, development, management and intelligence for our subscribers across industries to become the de facto building and business intelligence engine for the built world. We believe the demand for spatial data and resulting insights for enterprises, businesses and institutions across industries, including real estate, architecture, engineering and construction (“AEC”), retail, insurance and government, will continue to grow rapidly.
We believe digitization and datafication represent a tremendous greenfield opportunity for growth across this massive category and asset class. From the early stages of design and development to marketing, operations, insurance and building repair and maintenance, our platform’s software and technology provide subscribers critical tools and insights to drive cost savings, increase revenues and optimally manage their buildings and spaces. We believe that hundreds of billions of dollars in unrealized utilization and operating efficiencies in the built world can be unlocked through the power of our spatial data platform. Our platform and data solutions have universal applicability across industries and building categories, giving Matterport a significant advantage as we can address the entirety of this large market opportunity and increase the value of what we believe to be the largest asset class in the world.
With a demonstrated track record of delivering value to our subscribers, our offerings include software subscription, data licensing, services and product hardware. As of December 31, 2022, our subscriber base included over 24% of Fortune 1000 companies, with less than 10% of our total revenue generated from our top 10 subscribers. We expect more than 80% of our revenue to come from our software subscription and data license solutions by 2025. Our innovative 3D capture products, the Pro2 and Pro3 Cameras, have played an integral part in shaping the 3D building and property visualization ecosystem. The Pro2 and Pro3 Cameras have driven adoption of our solutions and have generated the unique high-quality and scaled data set that has enabled Cortex, our proprietary AI software engine, to become the pioneering engine for digital twin creation. With this data advantage initially spurred by the Pro2 Camera, we have developed a capture device agnostic platform that scales and can generate new building and property insights for our subscribers across industries and geographies.
We have recently experienced rapid growth. Our subscribers have grown approximately 49-fold from December 31, 2018 to December 31, 2022. Our revenue increased by approximately 22% to $136.1 million for the year ended December 31, 2022, from approximately $111.2 million for the year ended December 31, 2021. Our gross profit decreased by $8.1 million or 14%, to $51.8 million for the year ended December 31, 2022, from $60.0 million for the year ended December 31, 2021, primarily attributable to certain disruptive and incremental costs due to the global supply chain constraints in fiscal year 2022. Our ability to retain and grow the subscription revenue generated by our existing subscribers is an important measure of the health of our business and our future growth prospects. We track our performance in this area by measuring our net dollar expansion rate from the same set of customers across comparable periods. Our net dollar expansion rate of 103% for the three months ended December 31, 2022 demonstrates the stickiness and growth potential of our platform.
Our Industry and Market Opportunity
Today, the vast majority of buildings and spaces remain undigitized. We estimate our current serviceable addressable market includes approximately 1.3 billion spaces worldwide, primarily from the real estate and travel and hospitality sectors. With approximately 9.2 million spaces under management as of December 31, 2022, we are continuing to penetrate the global building stock and expand our footprint across various end markets, including residential and commercial real estate, facilities management, retail, AEC, insurance and repair, and travel and hospitality. We estimate our total addressable market to be more than 4 billion buildings and 20 billion spaces globally, yielding a more than $240 billion market opportunity. We believe that as Matterport’s unique spatial data library and property data services continue to grow, this opportunity could increase to more than $1 trillion based on the size of the building stock and the untapped value creation available to buildings worldwide. The constraints created by the COVID-19 pandemic have only reinforced and accelerated the importance of our scaled 3D capture solution that we have developed for diverse industries and markets over the past decade.
Our Spatial Data Platform
Overview
Our technology platform uses spatial data collected from a wide variety of digital capture devices to transform physical buildings and spaces into dimensionally accurate, photorealistic digital twins that provide our subscribers access to previously unavailable building information and insights.
As a first mover in this massive market for nearly a decade, we have developed and scaled our industry-leading 3D reconstruction technology powered by Cortex, our proprietary AI-driven software engine that uses machine learning to recreate a photorealistic, 3D virtual representation of an entire building structure, including contents, equipment and furnishings. The finished product is a detailed and dynamic replication of the physical space that can be explored, analyzed and customized from a web browser on any device, including smartphones. The power to manage even large-scale commercial buildings is in the palm of each subscriber’s hands, made possible by our advanced technology and breakthrough innovations across our entire spatial data technology stack.
Key elements of our spatial data platform include:
•Bringing offline buildings online. Traditionally, our customers needed to conduct in-person site visits to understand and assess their buildings and spaces. While photographs and floor plans can be helpful, these forms of two-dimensional (“2D”) representation have limited information and tend to be static and rigid, and thus lack the interactive element critical to a holistic understanding of each building and space. With the AI-powered capabilities of Cortex, our proprietary AI software, representation of physical objects is no longer confined to static 2D images and physical visits can be eliminated. Cortex helps to move the buildings and spaces from offline to online and makes them accessible to our customers in real-time and on demand from anywhere. After subscribers scan their buildings, our visualization algorithms accurately infer spatial positions and depths from flat, 2D imagery captured through the scans and transform them into high- fidelity and precise digital twin models. This creates a fully automated image processing pipeline to ensure that each digital twin is of professional grade image quality.
•Driven by spatial data. We are a data-driven company. Each incremental capture of a space grows the richness and depth of our spatial data library. Spatial data represents the unique and idiosyncratic details that underlie and compose the buildings and spaces in the human- made environment. Cortex uses the breadth of the billions of data points we have accumulated over the years to improve the 3D accuracy of our digital twins. We help our subscribers pinpoint the height, location and other characteristics of objects in their digital twin. Our sophisticated algorithms also deliver significant commercial value to our subscribers by generating data-based insights that allow them to confidently make assessments and decisions about their properties. For instance, property developers can assess the amount of natural heat and daylight coming from specific windows, retailers can ensure each store layout is up to the same level of code and brand requirements, and factories can insure machinery layouts meet specifications and location guidelines. With approximately 9.2 million spaces under management as of December 31, 2022, our spatial data library is the clearinghouse for information about the built world.
•Powered by AI and ML. Artificial intelligence and machine learning technologies effectively utilize spatial data to create a robust virtual experience that is dynamic, realistic, interactive, informative and permits multiple viewing angles. AI and ML also make costly cameras unnecessary for everyday scans—subscribers can now scan their spaces by simply tapping a button on their smartphones. As a result, Matterport is a device agnostic platform, helping us more rapidly scale and drive towards our mission of digitizing and indexing the built world.
Our value proposition to subscribers is designed to serve the entirety of the digital building lifecycle, from design and build to maintenance and operations, promotion, sale, lease, insure, repair, restore, secure and finance. As a result, we believe we are uniquely positioned to grow our revenue with our subscribers as we help them to discover opportunities to drive short- and long-term return on investment by taking their buildings and spaces from offline to online across their portfolios of properties.
Ubiquitous Capture
Matterport has become the standard for 3D space capture. Our technology platform empowers subscribers worldwide to quickly, easily and accurately digitize, customize and manage interactive and dimensionally accurate digital twins of their buildings and spaces.
The Matterport platform is designed to work with a wide range of LiDAR, spherical, 3D and 360 cameras, as well as smartphones, to suit the capture needs of all of our subscribers. This provides the flexibility to capture a space of any size, scale, and complexity, at anytime and anywhere.
•Matterport Pro3 is our newest 3D camera that scans properties faster than earlier versions to help accelerate project completion. Pro3 provides the highest accuracy scans of both indoor and outdoor spaces and is designed for speed, fidelity, versatility and accuracy. Capturing 3D data up to 100 meters away at less than 20 seconds per sweep, Pro3’s ultra-fast, high-precision LiDAR sensor can run for hours and takes millions of measurements in any conditions.
•Matterport Pro2 is our proprietary 3D camera that has been used to capture millions of spaces around the world with a high degree of fidelity, precision, speed and simplicity. Capable of capturing buildings more than 500,000 square feet in size, it has become the camera of choice for many residential, commercial, industrial and large-scale properties.
•360 Cameras. Matterport supports a selection of 360 cameras available in the market. These affordable, pocket sized devices deliver precision captures with high fidelity and are appropriate for capturing smaller homes, condos, short-term rentals, apartments, and more. The spherical lens image capture technology of these devices gives Cortex robust, detailed image data to transform panoramas into our industry-leading digital twins.
•LEICA BLK360. Through our partnership with Leica, our 3D reconstruction technology and our AI powered software engine, Cortex, transform this powerful LiDAR camera into an ultra-precise capture device for creating Matterport digital twins. It is the solution of choice for AEC professionals when exacting precision is required.
•Smartphone Capture. Our capture apps are commercially available for both iOS and Android. Matterport’s smartphone capture solution has democratized 3D capture, making it easy and accessible for anyone to digitize buildings and spaces with a recent iPhone device since the initial introduction of Matterport for iPhone in May 2020. In April 2021, we announced the official release of the Android Capture app, giving Android users the ability to quickly and easily capture buildings and spaces in immersive 3D. In February 2022, we launched Matterport Axis, a motorized mount that holds a smartphone and can be used with the Matterport Capture app to capture 3D digital twins of any physical space with increased speed, precision, and consistency.
Cortex and 3D Reconstruction (the Matterport Digital Twin)
With a spatial data library, as of December 31, 2022, of approximately 9.2 million spaces under management, representing approximately 28 billion captured square feet of space, we use our advanced ML and DL technologies to algorithmically transform the spatial data we capture into an accurate 3D digital reproduction of any physical space. This intelligent, automated 3D reconstruction is made possible by Cortex, our AI-powered software engine that includes a deep learning neural network that uses our spatial data library to understand how a building or space is divided into floors and rooms, where the doorways and openings are located, and what types of rooms are present, such that those forms are compiled and aligned with dimensional accuracy into a dynamic, photorealistic digital twin. Other components of Cortex include AI-powered computer vision technologies to identify and classify the contents inside a building or space, and object recognition technologies to identify and segment everything from furnishings and equipment to doors, windows, light fixtures, fire suppression sprinklers and fire escapes. Our highly scalable artificial intelligence platform enables our subscribers to tap into powerful, enhanced building data and insights at the click of a button.
The Science Behind the Matterport Digital Twin: Cortex AI Highlights
Matterport Runs on Cortex
Cortex is our AI-powered software engine that includes a precision deep learning neural network to create digital twins of any building or space. Developed using our proprietary spatial data captured with our Pro2 and Pro3 cameras, Cortex delivers a high degree of precision and accuracy while enabling 3D capture using everyday devices.
Generic neural networks struggle with 3D reconstruction of the real world. Matterport-optimized networks deliver more accurate and robust results. More than just raw training data, Matterport’s datasets allow us to develop new neural network architectures and evaluate them against user behavior and real-world data in millions of situations.
•Deep learning: Connecting and optimizing the detailed neural network data architecture of each space is key to creating robust, highly accurate 3D digital twins. Cortex evaluates and optimizes each 3D model against Matterport’s rich spatial data aggregated from millions of buildings and spaces and the human annotations of those data provided by tens of thousands of subscribers worldwide. Cortex’s evaluative abilities and its data-driven optimization of 3D reconstruction yield consistent, high-precision results across a wide array of building configurations, spaces and environments.
•Dynamic 3D reconstruction: Creating precise 3D spatial data at scale from 2D visuals and static images requires a combination of photorealistic, detailed data from multiple viewpoints and millions of spaces that train and optimize Cortex’s neural network and learning capabilities for improved 3D reconstruction of any space. Cortex’s capabilities combined with real-time spatial alignment algorithms in our 3D capture technology create an intuitive “preview” of any work in progress, allowing subscribers to work with their content interactively and in real-time.
•Computer vision: Cortex enables a suite of powerful features to enhance the value of digital twins. These include automatic measurements for rooms or objects in a room, automatic 2D-from-3D high-definition photo gallery creation, auto face blurring for privacy protection, custom videos, walkthroughs, auto room labeling and object recognition.
•Advanced image processing: Matterport’s computational photography algorithms create a fully automated image processing pipeline to help ensure that each digital twin is of professional grade image quality. Our patented technology makes 3D capture as simple as pressing a single button. Matterport’s software and technology manage the remaining steps, including white balance and camera-specific color correction, high dynamic range tone mapping, de-noising, haze removal, sharpening, saturation and other adjustments to improve image quality.
Spatial Data and AI-Powered Insights
Every Matterport digital twin contains extensive information about a building, room or physical space. The data uses our AI-powered Cortex engine. In addition to the Matterport digital twin itself, our spatial data consists of precision building geometry and structural detail, building contents, fixtures and condition, along with high-definition imagery and photorealistic detail from many vantage points in a space. Cortex employs a technique we call deep spatial indexing. Deep spatial indexing uses artificial intelligence, computer vision and deep learning to identify and convey important details about each space, its structure and its contents with precision and fidelity. We have created a robust spatial data standard that enables Matterport subscribers to harness an interoperable digital system of record for any building.
In addition to creating a highly interactive digital experience for subscribers through the construction of digital twins, we ask ourselves two questions for every subscriber: (1) what is important about their building or physical space and (2) what learnings and insights can we deliver for this space? Our AI-powered Cortex engine helps us answer these questions using our spatial data library to provide aggregated property trends and operational and valuation insights. Moreover, as the Matterport platform ecosystem continues to expand, our subscribers, partners and other third-party developers can bring their own tools to further the breadth and depth of insights they can harvest from our rich spatial data layer.
Extensible Platform Ecosystem
Matterport offers the largest and most accurate library of spatial data in the world, with, as of December 31, 2022, approximately 9.2 million spaces under management and approximately 28 billion captured square feet. The versatility of our spatial data platform and extensive enterprise software development kit and application programming interfaces (“APIs”) has allowed us to develop a robust global ecosystem of channels and partners that extend the Matterport value proposition by geography and vertical market. We intend to continue to deploy a broad set of workflow integrations with our partners and their subscribers to promote an integrated Matterport solution across our target markets. We are also developing a third-party software marketplace to extend the power of our spatial data platform with easy-to-deploy and easy-to-access Matterport software add-ons. The marketplace enables developers to build new applications and spatial data mining tools, enhance the Matterport 3D experience, and create new productivity and property management tools that supplement our core offerings. These value-added capabilities created by third-party developers enable a scalable new revenue stream, with Matterport sharing the subscription and services revenue from each add-on that is deployed to subscribers through the online marketplace. The network effects of our platform ecosystem contributes to the growth of our business, and we believe that it will continue to bolster future growth by enhancing subscriber stickiness and user engagement.
Examples of Matterport add-ons and extensions include:
•Add-ons: Encircle (easy-to-use field documentation tools for faster claims processing); WP Matterport Shortcode (free Wordpress plugin that allows Matterport to be embedded quickly and easily with a Matterport shortcode), WP3D Models (WordPress + Matterport integration plugin); Rela (all-in-one marketing solution for listings); CAPTUR3D (all-in-one Content Management System that extends value to Matterport digital twins); Private Model Emded (feature that allows enterprises to privately share digital twins with a large group of employees on the corporate network without requiring additional user licenses); Views (new workgroup collaboration framework to enable groups and large organizations to create separate, permissions-based workflows to manage different tasks with different teams); and Guided Tours and Tags (tool to elevate the visitor experience by creating directed virtual tours of any commercial or residential space tailored to the interests of their visitors). We unveiled our private beta integration with Amazon Web Services (AWS) IoT TwinMaker to enable enterprise customers to seamlessly connect IoT data into visually immersive and dimensionally accurate Matterport digital twin.
•Services: Matterport ADA Compliant Digital Twin (solution to provide American Disability Act compliant digital twins) and Enterprise Cloud Software Platform (reimagined cloud software platform for the enterprise that creates, publishes, and manages digital twins of buildings and spaces of any size of shape, indoors or outdoors).
Our Competitive Strengths
We believe that we have a number of competitive strengths that will enable our market leadership to grow. Our competitive strengths include:
•Breadth and depth of the Matterport platform. Our core strength is our all-in-one spatial data platform with broad reach across diverse verticals and geographies such as capture to processing to industries without customization. With the ability to integrate seamlessly with various enterprise systems, our platform delivers value across the property lifecycle for diverse end markets, including real estate, AEC, travel and hospitality, repair and insurance, and industrial and facilities. As of December 31, 2022, our global reach extended to subscribers in more than 170 countries, including over 24% of Fortune 1000 companies.
•Market leadership and first-mover advantage. Matterport defined the category of digitizing and datafying the built world almost a decade ago, and we have become the global leader in the category. As of December 31, 2022, we had over 701,000 subscribers on our platform and approximately 9.2 million spaces under management. Our leadership is primarily driven by the fact that we were the first mover in digital twin creation. As a result of our first mover advantage, we have amassed a deep and rich library of spatial data that continues to compound and enhance our leadership position.
•Significant network effect. With each new capture and piece of data added to our platform, the richness of our dataset and the depth of insights from our spaces under management grow. In addition, the combination of our ability to turn data into insights with incremental data from new data captures by our subscribers enables Matterport to develop features for subscribers to our platform. We were a first mover in building a spatial data library for the built world, and our leadership in gathering and deriving insights from data continues to compound and the relevance of those insights attracts more new subscribers.
•Massive spatial data library as the raw material for valuable property insights. The scale of our spatial data library is a significant advantage in deriving insights for our subscribers. Our spatial data library serves as vital ground truth for Cortex, enabling Matterport to create powerful 3D digital twins using a wide range of camera technology, including low-cost digital and smartphone cameras. As of December 31, 2022, our data came from approximately 9.2 million spaces under management and approximately 28 billion captured square feet. As a result, we have taken property insights and analytics to new levels, benefiting subscribers across various industries. For example, facilities managers significantly reduce the time needed to create building layouts, leading to a significant decrease in the cost of site surveying and as-built modeling. AEC subscribers use the analytics of each as-built space to streamline documentation and collaborate with ease.
•Global reach and scale. We are focused on continuing to expand our AI-powered spatial data platform worldwide. We have a significant presence in North America, Europe and Asia, with leadership teams and a go-to-market infrastructure in each of these regions. We have offices in London, Singapore and several across the United States, and we are accelerating our international expansion. As of December 31, 2022, we had over 701,000 subscribers in more than 170 countries. We believe that the geography-agnostic nature of our spatial data platform is a significant advantage as we continue to grow internationally.
•Broad patent portfolio supporting 10 years of R&amp;D and innovation. As of December 31, 2022, we had 54 issued and 37 pending patent applications. Our success is based on almost 10 years of focus on innovation. Innovation has been at the center of Matterport, and we will continue to prioritize our investments in R&amp;D to further our market leading position.
•Superior capture technology. Matterport’s capture technology platform is a software framework that enables support for a wide variety of capture devices required to create a Matterport digital twin of a building or space.
This includes support for LiDAR cameras, 360 cameras, smartphones, Matterport Axis and the Matterport Pro2 and Pro3 cameras. The Pro2 camera was foundational to our spatial data advantage, and we have expanded that advantage with an array of Matterport-enabled third-party capture devices. In August 2022, we launched and began shipment of our Pro3 Camera along with major updates to our industry-leading digital twin cloud platform. The Matterport Pro3 Camera is an advanced 3D capture device, which includes faster boot time, swappable batteries, and a lighter design. The Pro3 camera can perform both indoors and outdoors and is designed for speed, fidelity, versatility and accuracy. Along with our Pro2 Camera, we expect that future sales of our Pro3 Camera will continue to drive increased adoption of our solutions. Matterport is democratizing the 3D capture experience, making high-fidelity and high-accuracy 3D digital twins readily available for any building type and any subscriber need in the property life cycle. While there are other 3D capture solution providers, very few can produce true, dimensionally accurate 3D results, and fewer still can automatically create a final product in photorealistic 3D, and at global scale. This expansive capture technology offering would not be possible without our rich spatial data library available to train the AI-powered Cortex engine to automatically generate accurate digital twins from photos captured with a smartphone or 360 camera.
&lt;/document&gt;</t>
    </r>
  </si>
  <si>
    <t>User: &lt;question&gt;What was Matterport's subscriber base on the precise date of May 31, 2020?&lt;/question&gt;
Please read the below document. Then, in &lt;scratchpad&gt; tags, pull the most relevant quote from the document and consider whether it answers the user's question or whether it lacks sufficient detail. Then write a brief numerical answer in &lt;answer&gt; tags.
&lt;document&gt;
Matterport SEC filing 10-K 2023
Item 1. Business
Our Company
Matterport is leading the digitization and datafication of the built world. We believe the digital transformation of the built world will fundamentally change the way people interact with buildings and the physical spaces around them.
Since its founding in 2011, Matterport’s pioneering technology has set the standard for digitizing, accessing and managing buildings, spaces and places online. Our platform’s innovative software, spatial data-driven data science, and 3D capture technology have broken down the barriers that have kept the largest asset class in the world, buildings and physical spaces, offline and underutilized for many years. We believe the digitization and datafication of the built world will continue to unlock significant operational efficiencies and property values, and that Matterport is the platform to lead this enormous global transformation.
The world is rapidly moving from offline to online. Digital transformation has made a powerful and lasting impact across every business and industry today. According to International Data Corporation, or IDC, over $6.8 trillion of direct investments will be made on digital transformation from 2020 to 2023, the global digital transformation spending is forecasted to reach $3.4 trillion in 2026 with a five-year compound annual growth rate (“CAGR”) of 16.3%, and digital twin investments are expected to have a five-year CAGR of 35.2%. With this secular shift, there is also growing demand for the built world to transition from physical to digital. Nevertheless, the vast majority of buildings and spaces remain offline and undigitized. The global building stock, estimated by Savills to be $327 trillion in total property value as of 2021, remains largely offline today, and we estimate that less than 0.1% is penetrated by digital transformation.
Matterport was among the first to recognize the increasing need for digitization of the built world and the power of spatial data, the unique details underlying buildings and spaces, in facilitating the understanding of buildings and spaces. In the past, technology advanced physical road maps to the data-rich, digital maps and location services we all rely on today. Matterport now digitizes buildings, creating a data-rich environment to vastly increase our understanding and the full potential of each and every space we capture. Just as we can instantly, at the touch of a button, learn the fastest route from one city to another or locate the nearest coffee shops, Matterport’s spatial data for buildings unlocks a rich set of insights and learnings about properties and spaces worldwide. In addition, just as the geo-spatial mapping platforms of today have opened their mapping data to industry to create new business models such as ridesharing, e-commerce, food delivery marketplaces, and even short-term rental and home sharing, open access to Matterport’s structured spatial data is enabling new opportunities and business models for hospitality, facilities management, insurance, construction, real estate and retail, among others.
We believe the total addressable market opportunity for digitizing the built world is over $240 billion, and could be as high as $1 trillion as the market matures at scale. This is based on our analysis, modeling and understanding of the global building stock of over 4 billion properties and 20 billion spaces in the world today. With the help of artificial intelligence (“AI”), machine learning (“ML”) and deep learning (“DL”) technologies, we believe that, with the additional monetization opportunities from powerful spatial data-driven property insights and analytics, the total addressable market for the digitization and datafication of the built world will reach more than $1 trillion.
Our spatial data platform and capture of digital twins deliver value across a diverse set of industries and use cases. Large retailers can manage thousands of store locations remotely, real estate agencies can provide virtual open houses for hundreds of properties and thousands of visitors at the same time, property developers can monitor the entirety of the construction process with greater detail and speed, and insurance companies can more precisely document and evaluate claims and underwriting assessments with efficiency and precision. Matterport delivers the critical digital experience, tools and information that matter to our subscribers about properties of virtually any size, shape, and location worldwide.
For nearly a decade, we have been growing our spatial data platform and expanding our capabilities in order to create the most detailed, accurate, and data-rich digital twins available. Moreover, our 3D reconstruction process is fully automated, allowing our solution to scale with equal precision to millions of buildings and spaces of any type, shape, and size in the world. The universal applicability of our service provides Matterport significant scale and reach across diverse verticals and any geography. As of December 31, 2022, our subscriber base had grown approximately 39% to over 701,000 subscribers from 503,000 subscribers as of December 31, 2021, with our digital twins reaching more than 170 countries. We have digitized more than 28 billion square feet of space across multiple industries, representing significant scale and growth over the rest of the market.
As we continue to transform buildings into data worldwide, we are extending our spatial data platform to further transform property planning, development, management and intelligence for our subscribers across industries to become the de facto building and business intelligence engine for the built world. We believe the demand for spatial data and resulting insights for enterprises, businesses and institutions across industries, including real estate, architecture, engineering and construction (“AEC”), retail, insurance and government, will continue to grow rapidly.
We believe digitization and datafication represent a tremendous greenfield opportunity for growth across this massive category and asset class. From the early stages of design and development to marketing, operations, insurance and building repair and maintenance, our platform’s software and technology provide subscribers critical tools and insights to drive cost savings, increase revenues and optimally manage their buildings and spaces. We believe that hundreds of billions of dollars in unrealized utilization and operating efficiencies in the built world can be unlocked through the power of our spatial data platform. Our platform and data solutions have universal applicability across industries and building categories, giving Matterport a significant advantage as we can address the entirety of this large market opportunity and increase the value of what we believe to be the largest asset class in the world.
With a demonstrated track record of delivering value to our subscribers, our offerings include software subscription, data licensing, services and product hardware. As of December 31, 2022, our subscriber base included over 24% of Fortune 1000 companies, with less than 10% of our total revenue generated from our top 10 subscribers. We expect more than 80% of our revenue to come from our software subscription and data license solutions by 2025. Our innovative 3D capture products, the Pro2 and Pro3 Cameras, have played an integral part in shaping the 3D building and property visualization ecosystem. The Pro2 and Pro3 Cameras have driven adoption of our solutions and have generated the unique high-quality and scaled data set that has enabled Cortex, our proprietary AI software engine, to become the pioneering engine for digital twin creation. With this data advantage initially spurred by the Pro2 Camera, we have developed a capture device agnostic platform that scales and can generate new building and property insights for our subscribers across industries and geographies.
We have recently experienced rapid growth. Our subscribers have grown approximately 49-fold from December 31, 2018 to December 31, 2022. Our revenue increased by approximately 22% to $136.1 million for the year ended December 31, 2022, from approximately $111.2 million for the year ended December 31, 2021. Our gross profit decreased by $8.1 million or 14%, to $51.8 million for the year ended December 31, 2022, from $60.0 million for the year ended December 31, 2021, primarily attributable to certain disruptive and incremental costs due to the global supply chain constraints in fiscal year 2022. Our ability to retain and grow the subscription revenue generated by our existing subscribers is an important measure of the health of our business and our future growth prospects. We track our performance in this area by measuring our net dollar expansion rate from the same set of customers across comparable periods. Our net dollar expansion rate of 103% for the three months ended December 31, 2022 demonstrates the stickiness and growth potential of our platform.
Our Industry and Market Opportunity
Today, the vast majority of buildings and spaces remain undigitized. We estimate our current serviceable addressable market includes approximately 1.3 billion spaces worldwide, primarily from the real estate and travel and hospitality sectors. With approximately 9.2 million spaces under management as of December 31, 2022, we are continuing to penetrate the global building stock and expand our footprint across various end markets, including residential and commercial real estate, facilities management, retail, AEC, insurance and repair, and travel and hospitality. We estimate our total addressable market to be more than 4 billion buildings and 20 billion spaces globally, yielding a more than $240 billion market opportunity. We believe that as Matterport’s unique spatial data library and property data services continue to grow, this opportunity could increase to more than $1 trillion based on the size of the building stock and the untapped value creation available to buildings worldwide. The constraints created by the COVID-19 pandemic have only reinforced and accelerated the importance of our scaled 3D capture solution that we have developed for diverse industries and markets over the past decade.
Our Spatial Data Platform
Overview
Our technology platform uses spatial data collected from a wide variety of digital capture devices to transform physical buildings and spaces into dimensionally accurate, photorealistic digital twins that provide our subscribers access to previously unavailable building information and insights.
As a first mover in this massive market for nearly a decade, we have developed and scaled our industry-leading 3D reconstruction technology powered by Cortex, our proprietary AI-driven software engine that uses machine learning to recreate a photorealistic, 3D virtual representation of an entire building structure, including contents, equipment and furnishings. The finished product is a detailed and dynamic replication of the physical space that can be explored, analyzed and customized from a web browser on any device, including smartphones. The power to manage even large-scale commercial buildings is in the palm of each subscriber’s hands, made possible by our advanced technology and breakthrough innovations across our entire spatial data technology stack.
Key elements of our spatial data platform include:
•Bringing offline buildings online. Traditionally, our customers needed to conduct in-person site visits to understand and assess their buildings and spaces. While photographs and floor plans can be helpful, these forms of two-dimensional (“2D”) representation have limited information and tend to be static and rigid, and thus lack the interactive element critical to a holistic understanding of each building and space. With the AI-powered capabilities of Cortex, our proprietary AI software, representation of physical objects is no longer confined to static 2D images and physical visits can be eliminated. Cortex helps to move the buildings and spaces from offline to online and makes them accessible to our customers in real-time and on demand from anywhere. After subscribers scan their buildings, our visualization algorithms accurately infer spatial positions and depths from flat, 2D imagery captured through the scans and transform them into high- fidelity and precise digital twin models. This creates a fully automated image processing pipeline to ensure that each digital twin is of professional grade image quality.
•Driven by spatial data. We are a data-driven company. Each incremental capture of a space grows the richness and depth of our spatial data library. Spatial data represents the unique and idiosyncratic details that underlie and compose the buildings and spaces in the human- made environment. Cortex uses the breadth of the billions of data points we have accumulated over the years to improve the 3D accuracy of our digital twins. We help our subscribers pinpoint the height, location and other characteristics of objects in their digital twin. Our sophisticated algorithms also deliver significant commercial value to our subscribers by generating data-based insights that allow them to confidently make assessments and decisions about their properties. For instance, property developers can assess the amount of natural heat and daylight coming from specific windows, retailers can ensure each store layout is up to the same level of code and brand requirements, and factories can insure machinery layouts meet specifications and location guidelines. With approximately 9.2 million spaces under management as of December 31, 2022, our spatial data library is the clearinghouse for information about the built world.
•Powered by AI and ML. Artificial intelligence and machine learning technologies effectively utilize spatial data to create a robust virtual experience that is dynamic, realistic, interactive, informative and permits multiple viewing angles. AI and ML also make costly cameras unnecessary for everyday scans—subscribers can now scan their spaces by simply tapping a button on their smartphones. As a result, Matterport is a device agnostic platform, helping us more rapidly scale and drive towards our mission of digitizing and indexing the built world.
Our value proposition to subscribers is designed to serve the entirety of the digital building lifecycle, from design and build to maintenance and operations, promotion, sale, lease, insure, repair, restore, secure and finance. As a result, we believe we are uniquely positioned to grow our revenue with our subscribers as we help them to discover opportunities to drive short- and long-term return on investment by taking their buildings and spaces from offline to online across their portfolios of properties.
Ubiquitous Capture
Matterport has become the standard for 3D space capture. Our technology platform empowers subscribers worldwide to quickly, easily and accurately digitize, customize and manage interactive and dimensionally accurate digital twins of their buildings and spaces.
The Matterport platform is designed to work with a wide range of LiDAR, spherical, 3D and 360 cameras, as well as smartphones, to suit the capture needs of all of our subscribers. This provides the flexibility to capture a space of any size, scale, and complexity, at anytime and anywhere.
•Matterport Pro3 is our newest 3D camera that scans properties faster than earlier versions to help accelerate project completion. Pro3 provides the highest accuracy scans of both indoor and outdoor spaces and is designed for speed, fidelity, versatility and accuracy. Capturing 3D data up to 100 meters away at less than 20 seconds per sweep, Pro3’s ultra-fast, high-precision LiDAR sensor can run for hours and takes millions of measurements in any conditions.
•Matterport Pro2 is our proprietary 3D camera that has been used to capture millions of spaces around the world with a high degree of fidelity, precision, speed and simplicity. Capable of capturing buildings more than 500,000 square feet in size, it has become the camera of choice for many residential, commercial, industrial and large-scale properties.
•360 Cameras. Matterport supports a selection of 360 cameras available in the market. These affordable, pocket sized devices deliver precision captures with high fidelity and are appropriate for capturing smaller homes, condos, short-term rentals, apartments, and more. The spherical lens image capture technology of these devices gives Cortex robust, detailed image data to transform panoramas into our industry-leading digital twins.
•LEICA BLK360. Through our partnership with Leica, our 3D reconstruction technology and our AI powered software engine, Cortex, transform this powerful LiDAR camera into an ultra-precise capture device for creating Matterport digital twins. It is the solution of choice for AEC professionals when exacting precision is required.
•Smartphone Capture. Our capture apps are commercially available for both iOS and Android. Matterport’s smartphone capture solution has democratized 3D capture, making it easy and accessible for anyone to digitize buildings and spaces with a recent iPhone device since the initial introduction of Matterport for iPhone in May 2020. In April 2021, we announced the official release of the Android Capture app, giving Android users the ability to quickly and easily capture buildings and spaces in immersive 3D. In February 2022, we launched Matterport Axis, a motorized mount that holds a smartphone and can be used with the Matterport Capture app to capture 3D digital twins of any physical space with increased speed, precision, and consistency.
Cortex and 3D Reconstruction (the Matterport Digital Twin)
With a spatial data library, as of December 31, 2022, of approximately 9.2 million spaces under management, representing approximately 28 billion captured square feet of space, we use our advanced ML and DL technologies to algorithmically transform the spatial data we capture into an accurate 3D digital reproduction of any physical space. This intelligent, automated 3D reconstruction is made possible by Cortex, our AI-powered software engine that includes a deep learning neural network that uses our spatial data library to understand how a building or space is divided into floors and rooms, where the doorways and openings are located, and what types of rooms are present, such that those forms are compiled and aligned with dimensional accuracy into a dynamic, photorealistic digital twin. Other components of Cortex include AI-powered computer vision technologies to identify and classify the contents inside a building or space, and object recognition technologies to identify and segment everything from furnishings and equipment to doors, windows, light fixtures, fire suppression sprinklers and fire escapes. Our highly scalable artificial intelligence platform enables our subscribers to tap into powerful, enhanced building data and insights at the click of a button.
The Science Behind the Matterport Digital Twin: Cortex AI Highlights
Matterport Runs on Cortex
Cortex is our AI-powered software engine that includes a precision deep learning neural network to create digital twins of any building or space. Developed using our proprietary spatial data captured with our Pro2 and Pro3 cameras, Cortex delivers a high degree of precision and accuracy while enabling 3D capture using everyday devices.
Generic neural networks struggle with 3D reconstruction of the real world. Matterport-optimized networks deliver more accurate and robust results. More than just raw training data, Matterport’s datasets allow us to develop new neural network architectures and evaluate them against user behavior and real-world data in millions of situations.
•Deep learning: Connecting and optimizing the detailed neural network data architecture of each space is key to creating robust, highly accurate 3D digital twins. Cortex evaluates and optimizes each 3D model against Matterport’s rich spatial data aggregated from millions of buildings and spaces and the human annotations of those data provided by tens of thousands of subscribers worldwide. Cortex’s evaluative abilities and its data-driven optimization of 3D reconstruction yield consistent, high-precision results across a wide array of building configurations, spaces and environments.
•Dynamic 3D reconstruction: Creating precise 3D spatial data at scale from 2D visuals and static images requires a combination of photorealistic, detailed data from multiple viewpoints and millions of spaces that train and optimize Cortex’s neural network and learning capabilities for improved 3D reconstruction of any space. Cortex’s capabilities combined with real-time spatial alignment algorithms in our 3D capture technology create an intuitive “preview” of any work in progress, allowing subscribers to work with their content interactively and in real-time.
•Computer vision: Cortex enables a suite of powerful features to enhance the value of digital twins. These include automatic measurements for rooms or objects in a room, automatic 2D-from-3D high-definition photo gallery creation, auto face blurring for privacy protection, custom videos, walkthroughs, auto room labeling and object recognition.
•Advanced image processing: Matterport’s computational photography algorithms create a fully automated image processing pipeline to help ensure that each digital twin is of professional grade image quality. Our patented technology makes 3D capture as simple as pressing a single button. Matterport’s software and technology manage the remaining steps, including white balance and camera-specific color correction, high dynamic range tone mapping, de-noising, haze removal, sharpening, saturation and other adjustments to improve image quality.
Spatial Data and AI-Powered Insights
Every Matterport digital twin contains extensive information about a building, room or physical space. The data uses our AI-powered Cortex engine. In addition to the Matterport digital twin itself, our spatial data consists of precision building geometry and structural detail, building contents, fixtures and condition, along with high-definition imagery and photorealistic detail from many vantage points in a space. Cortex employs a technique we call deep spatial indexing. Deep spatial indexing uses artificial intelligence, computer vision and deep learning to identify and convey important details about each space, its structure and its contents with precision and fidelity. We have created a robust spatial data standard that enables Matterport subscribers to harness an interoperable digital system of record for any building.
In addition to creating a highly interactive digital experience for subscribers through the construction of digital twins, we ask ourselves two questions for every subscriber: (1) what is important about their building or physical space and (2) what learnings and insights can we deliver for this space? Our AI-powered Cortex engine helps us answer these questions using our spatial data library to provide aggregated property trends and operational and valuation insights. Moreover, as the Matterport platform ecosystem continues to expand, our subscribers, partners and other third-party developers can bring their own tools to further the breadth and depth of insights they can harvest from our rich spatial data layer.
Extensible Platform Ecosystem
Matterport offers the largest and most accurate library of spatial data in the world, with, as of December 31, 2022, approximately 9.2 million spaces under management and approximately 28 billion captured square feet. The versatility of our spatial data platform and extensive enterprise software development kit and application programming interfaces (“APIs”) has allowed us to develop a robust global ecosystem of channels and partners that extend the Matterport value proposition by geography and vertical market. We intend to continue to deploy a broad set of workflow integrations with our partners and their subscribers to promote an integrated Matterport solution across our target markets. We are also developing a third-party software marketplace to extend the power of our spatial data platform with easy-to-deploy and easy-to-access Matterport software add-ons. The marketplace enables developers to build new applications and spatial data mining tools, enhance the Matterport 3D experience, and create new productivity and property management tools that supplement our core offerings. These value-added capabilities created by third-party developers enable a scalable new revenue stream, with Matterport sharing the subscription and services revenue from each add-on that is deployed to subscribers through the online marketplace. The network effects of our platform ecosystem contributes to the growth of our business, and we believe that it will continue to bolster future growth by enhancing subscriber stickiness and user engagement.
Examples of Matterport add-ons and extensions include:
•Add-ons: Encircle (easy-to-use field documentation tools for faster claims processing); WP Matterport Shortcode (free Wordpress plugin that allows Matterport to be embedded quickly and easily with a Matterport shortcode), WP3D Models (WordPress + Matterport integration plugin); Rela (all-in-one marketing solution for listings); CAPTUR3D (all-in-one Content Management System that extends value to Matterport digital twins); Private Model Emded (feature that allows enterprises to privately share digital twins with a large group of employees on the corporate network without requiring additional user licenses); Views (new workgroup collaboration framework to enable groups and large organizations to create separate, permissions-based workflows to manage different tasks with different teams); and Guided Tours and Tags (tool to elevate the visitor experience by creating directed virtual tours of any commercial or residential space tailored to the interests of their visitors). We unveiled our private beta integration with Amazon Web Services (AWS) IoT TwinMaker to enable enterprise customers to seamlessly connect IoT data into visually immersive and dimensionally accurate Matterport digital twin.
•Services: Matterport ADA Compliant Digital Twin (solution to provide American Disability Act compliant digital twins) and Enterprise Cloud Software Platform (reimagined cloud software platform for the enterprise that creates, publishes, and manages digital twins of buildings and spaces of any size of shape, indoors or outdoors).
Our Competitive Strengths
We believe that we have a number of competitive strengths that will enable our market leadership to grow. Our competitive strengths include:
•Breadth and depth of the Matterport platform. Our core strength is our all-in-one spatial data platform with broad reach across diverse verticals and geographies such as capture to processing to industries without customization. With the ability to integrate seamlessly with various enterprise systems, our platform delivers value across the property lifecycle for diverse end markets, including real estate, AEC, travel and hospitality, repair and insurance, and industrial and facilities. As of December 31, 2022, our global reach extended to subscribers in more than 170 countries, including over 24% of Fortune 1000 companies.
•Market leadership and first-mover advantage. Matterport defined the category of digitizing and datafying the built world almost a decade ago, and we have become the global leader in the category. As of December 31, 2022, we had over 701,000 subscribers on our platform and approximately 9.2 million spaces under management. Our leadership is primarily driven by the fact that we were the first mover in digital twin creation. As a result of our first mover advantage, we have amassed a deep and rich library of spatial data that continues to compound and enhance our leadership position.
•Significant network effect. With each new capture and piece of data added to our platform, the richness of our dataset and the depth of insights from our spaces under management grow. In addition, the combination of our ability to turn data into insights with incremental data from new data captures by our subscribers enables Matterport to develop features for subscribers to our platform. We were a first mover in building a spatial data library for the built world, and our leadership in gathering and deriving insights from data continues to compound and the relevance of those insights attracts more new subscribers.
•Massive spatial data library as the raw material for valuable property insights. The scale of our spatial data library is a significant advantage in deriving insights for our subscribers. Our spatial data library serves as vital ground truth for Cortex, enabling Matterport to create powerful 3D digital twins using a wide range of camera technology, including low-cost digital and smartphone cameras. As of December 31, 2022, our data came from approximately 9.2 million spaces under management and approximately 28 billion captured square feet. As a result, we have taken property insights and analytics to new levels, benefiting subscribers across various industries. For example, facilities managers significantly reduce the time needed to create building layouts, leading to a significant decrease in the cost of site surveying and as-built modeling. AEC subscribers use the analytics of each as-built space to streamline documentation and collaborate with ease.
•Global reach and scale. We are focused on continuing to expand our AI-powered spatial data platform worldwide. We have a significant presence in North America, Europe and Asia, with leadership teams and a go-to-market infrastructure in each of these regions. We have offices in London, Singapore and several across the United States, and we are accelerating our international expansion. As of December 31, 2022, we had over 701,000 subscribers in more than 170 countries. We believe that the geography-agnostic nature of our spatial data platform is a significant advantage as we continue to grow internationally.
•Broad patent portfolio supporting 10 years of R&amp;D and innovation. As of December 31, 2022, we had 54 issued and 37 pending patent applications. Our success is based on almost 10 years of focus on innovation. Innovation has been at the center of Matterport, and we will continue to prioritize our investments in R&amp;D to further our market leading position.
•Superior capture technology. Matterport’s capture technology platform is a software framework that enables support for a wide variety of capture devices required to create a Matterport digital twin of a building or space.
This includes support for LiDAR cameras, 360 cameras, smartphones, Matterport Axis and the Matterport Pro2 and Pro3 cameras. The Pro2 camera was foundational to our spatial data advantage, and we have expanded that advantage with an array of Matterport-enabled third-party capture devices. In August 2022, we launched and began shipment of our Pro3 Camera along with major updates to our industry-leading digital twin cloud platform. The Matterport Pro3 Camera is an advanced 3D capture device, which includes faster boot time, swappable batteries, and a lighter design. The Pro3 camera can perform both indoors and outdoors and is designed for speed, fidelity, versatility and accuracy. Along with our Pro2 Camera, we expect that future sales of our Pro3 Camera will continue to drive increased adoption of our solutions. Matterport is democratizing the 3D capture experience, making high-fidelity and high-accuracy 3D digital twins readily available for any building type and any subscriber need in the property life cycle. While there are other 3D capture solution providers, very few can produce true, dimensionally accurate 3D results, and fewer still can automatically create a final product in photorealistic 3D, and at global scale. This expansive capture technology offering would not be possible without our rich spatial data library available to train the AI-powered Cortex engine to automatically generate accurate digital twins from photos captured with a smartphone or 360 camer</t>
  </si>
  <si>
    <t>← Chapter 7 Exercises: Using Examples (Few-Shot Prompting)</t>
  </si>
  <si>
    <t>Chapter 8: Avoiding Hallucinations - Exercises</t>
  </si>
  <si>
    <t>Exercise 8.1 - Beyoncé Hallucination</t>
  </si>
  <si>
    <t>Exercise 8.2 - Prospectus Hallucination</t>
  </si>
  <si>
    <r>
      <rPr>
        <sz val="11"/>
        <color theme="1"/>
        <rFont val="Arial"/>
      </rPr>
      <t xml:space="preserve">Adapt the prompt in the </t>
    </r>
    <r>
      <rPr>
        <b/>
        <sz val="11"/>
        <color rgb="FFBF9000"/>
        <rFont val="Arial"/>
      </rPr>
      <t>YELLOW</t>
    </r>
    <r>
      <rPr>
        <sz val="11"/>
        <color theme="1"/>
        <rFont val="Arial"/>
      </rPr>
      <t xml:space="preserve"> prompt box to </t>
    </r>
    <r>
      <rPr>
        <u/>
        <sz val="11"/>
        <color theme="1"/>
        <rFont val="Arial"/>
      </rPr>
      <t>fix Claude's hallucination issue by giving Claude an out.</t>
    </r>
    <r>
      <rPr>
        <sz val="11"/>
        <color theme="1"/>
        <rFont val="Arial"/>
      </rPr>
      <t xml:space="preserve"> (Renaissance is Beyoncé's seventh studio album, not her eighth.) 
If your answer is correct, Claude's response cell will turn </t>
    </r>
    <r>
      <rPr>
        <b/>
        <sz val="11"/>
        <color rgb="FF34A853"/>
        <rFont val="Arial"/>
      </rPr>
      <t>GREEN</t>
    </r>
    <r>
      <rPr>
        <sz val="11"/>
        <color theme="1"/>
        <rFont val="Arial"/>
      </rPr>
      <t>.</t>
    </r>
  </si>
  <si>
    <t>User: In what year did star performer Beyoncé release her eighth studio album?</t>
  </si>
  <si>
    <r>
      <rPr>
        <b/>
        <sz val="11"/>
        <color rgb="FF000000"/>
        <rFont val="Arial"/>
      </rPr>
      <t xml:space="preserve">Hint: </t>
    </r>
    <r>
      <rPr>
        <sz val="11"/>
        <color rgb="FF000000"/>
        <rFont val="Arial"/>
      </rPr>
      <t xml:space="preserve">What should Claude do if it doesn't know the answer?
The conditional formatting in this exercise is looking for a response that contains the phrase "I do not", "I don't", or "Unfortunately", and does </t>
    </r>
    <r>
      <rPr>
        <b/>
        <sz val="11"/>
        <color rgb="FF000000"/>
        <rFont val="Arial"/>
      </rPr>
      <t>not</t>
    </r>
    <r>
      <rPr>
        <sz val="11"/>
        <color rgb="FF000000"/>
        <rFont val="Arial"/>
      </rPr>
      <t xml:space="preserve"> contain "2022".</t>
    </r>
  </si>
  <si>
    <r>
      <rPr>
        <sz val="11"/>
        <color theme="1"/>
        <rFont val="Arial"/>
      </rPr>
      <t xml:space="preserve">Modify the prompt in the </t>
    </r>
    <r>
      <rPr>
        <b/>
        <sz val="11"/>
        <color rgb="FFBF9000"/>
        <rFont val="Arial"/>
      </rPr>
      <t>YELLOW</t>
    </r>
    <r>
      <rPr>
        <sz val="11"/>
        <color theme="1"/>
        <rFont val="Arial"/>
      </rPr>
      <t xml:space="preserve"> prompt box to </t>
    </r>
    <r>
      <rPr>
        <u/>
        <sz val="11"/>
        <color theme="1"/>
        <rFont val="Arial"/>
      </rPr>
      <t>fix Claude's hallucination issue by asking for citations.</t>
    </r>
    <r>
      <rPr>
        <sz val="11"/>
        <color theme="1"/>
        <rFont val="Arial"/>
      </rPr>
      <t xml:space="preserve"> The correct answer is that subscribers went up 49x. 
If your answer is correct, Claude's response cell will turn </t>
    </r>
    <r>
      <rPr>
        <b/>
        <sz val="11"/>
        <color rgb="FF34A853"/>
        <rFont val="Arial"/>
      </rPr>
      <t>GREEN</t>
    </r>
    <r>
      <rPr>
        <sz val="11"/>
        <color theme="1"/>
        <rFont val="Arial"/>
      </rPr>
      <t>.</t>
    </r>
  </si>
  <si>
    <r>
      <rPr>
        <sz val="10"/>
        <color theme="1"/>
        <rFont val="Arial"/>
      </rPr>
      <t xml:space="preserve">User: From December 2018 to December 2022, by what amount did Matterport's subscribers grow?
&lt;document&gt;
Matterport SEC filing 10-K 2023
Item 1. Business
Our Company
Matterport is leading the digitization and datafication of the built world. We believe the digital transformation of the built world will fundamentally change the way people interact with buildings and the physical spaces around them.
Since its founding in 2011, Matterport’s pioneering technology has set the standard for digitizing, accessing and managing buildings, spaces and places online. Our platform’s innovative software, spatial data-driven data science, and 3D capture technology have broken down the barriers that have kept the largest asset class in the world, buildings and physical spaces, offline and underutilized for many years. We believe the digitization and datafication of the built world will continue to unlock significant operational efficiencies and property values, and that Matterport is the platform to lead this enormous global transformation.
The world is rapidly moving from offline to online. Digital transformation has made a powerful and lasting impact across every business and industry today. According to International Data Corporation, or IDC, over $6.8 trillion of direct investments will be made on digital transformation from 2020 to 2023, the global digital transformation spending is forecasted to reach $3.4 trillion in 2026 with a five-year compound annual growth rate (“CAGR”) of 16.3%, and digital twin investments are expected to have a five-year CAGR of 35.2%. With this secular shift, there is also growing demand for the built world to transition from physical to digital. Nevertheless, the vast majority of buildings and spaces remain offline and undigitized. The global building stock, estimated by Savills to be $327 trillion in total property value as of 2021, remains largely offline today, and we estimate that less than 0.1% is penetrated by digital transformation.
Matterport was among the first to recognize the increasing need for digitization of the built world and the power of spatial data, the unique details underlying buildings and spaces, in facilitating the understanding of buildings and spaces. In the past, technology advanced physical road maps to the data-rich, digital maps and location services we all rely on today. Matterport now digitizes buildings, creating a data-rich environment to vastly increase our understanding and the full potential of each and every space we capture. Just as we can instantly, at the touch of a button, learn the fastest route from one city to another or locate the nearest coffee shops, Matterport’s spatial data for buildings unlocks a rich set of insights and learnings about properties and spaces worldwide. In addition, just as the geo-spatial mapping platforms of today have opened their mapping data to industry to create new business models such as ridesharing, e-commerce, food delivery marketplaces, and even short-term rental and home sharing, open access to Matterport’s structured spatial data is enabling new opportunities and business models for hospitality, facilities management, insurance, construction, real estate and retail, among others.
We believe the total addressable market opportunity for digitizing the built world is over $240 billion, and could be as high as $1 trillion as the market matures at scale. This is based on our analysis, modeling and understanding of the global building stock of over 4 billion properties and 20 billion spaces in the world today. With the help of artificial intelligence (“AI”), machine learning (“ML”) and deep learning (“DL”) technologies, we believe that, with the additional monetization opportunities from powerful spatial data-driven property insights and analytics, the total addressable market for the digitization and datafication of the built world will reach more than $1 trillion.
Our spatial data platform and capture of digital twins deliver value across a diverse set of industries and use cases. Large retailers can manage thousands of store locations remotely, real estate agencies can provide virtual open houses for hundreds of properties and thousands of visitors at the same time, property developers can monitor the entirety of the construction process with greater detail and speed, and insurance companies can more precisely document and evaluate claims and underwriting assessments with efficiency and precision. Matterport delivers the critical digital experience, tools and information that matter to our subscribers about properties of virtually any size, shape, and location worldwide.
For nearly a decade, we have been growing our spatial data platform and expanding our capabilities in order to create the most detailed, accurate, and data-rich digital twins available. Moreover, our 3D reconstruction process is fully automated, allowing our solution to scale with equal precision to millions of buildings and spaces of any type, shape, and size in the world. The universal applicability of our service provides Matterport significant scale and reach across diverse verticals and any geography. </t>
    </r>
    <r>
      <rPr>
        <b/>
        <sz val="10"/>
        <color theme="1"/>
        <rFont val="Arial"/>
      </rPr>
      <t>As of December 31, 2022, our subscriber base had grown approximately 39% to over 701,000 subscribers from 503,000 subscribers as of December 31, 2021</t>
    </r>
    <r>
      <rPr>
        <sz val="10"/>
        <color theme="1"/>
        <rFont val="Arial"/>
      </rPr>
      <t>, with our digital twins reaching more than 170 countries. We have digitized more than 28 billion square feet of space across multiple industries, representing significant scale and growth over the rest of the market.
As we continue to transform buildings into data worldwide, we are extending our spatial data platform to further transform property planning, development, management and intelligence for our subscribers across industries to become the de facto building and business intelligence engine for the built world. We believe the demand for spatial data and resulting insights for enterprises, businesses and institutions across industries, including real estate, architecture, engineering and construction (“AEC”), retail, insurance and government, will continue to grow rapidly.
We believe digitization and datafication represent a tremendous greenfield opportunity for growth across this massive category and asset class. From the early stages of design and development to marketing, operations, insurance and building repair and maintenance, our platform’s software and technology provide subscribers critical tools and insights to drive cost savings, increase revenues and optimally manage their buildings and spaces. We believe that hundreds of billions of dollars in unrealized utilization and operating efficiencies in the built world can be unlocked through the power of our spatial data platform. Our platform and data solutions have universal applicability across industries and building categories, giving Matterport a significant advantage as we can address the entirety of this large market opportunity and increase the value of what we believe to be the largest asset class in the world.
With a demonstrated track record of delivering value to our subscribers, our offerings include software subscription, data licensing, services and product hardware. As of December 31, 2022, our subscriber base included over 24% of Fortune 1000 companies, with less than 10% of our total revenue generated from our top 10 subscribers. We expect more than 80% of our revenue to come from our software subscription and data license solutions by 2025. Our innovative 3D capture products, the Pro2 and Pro3 Cameras, have played an integral part in shaping the 3D building and property visualization ecosystem. The Pro2 and Pro3 Cameras have driven adoption of our solutions and have generated the unique high-quality and scaled data set that has enabled Cortex, our proprietary AI software engine, to become the pioneering engine for digital twin creation. With this data advantage initially spurred by the Pro2 Camera, we have developed a capture device agnostic platform that scales and can generate new building and property insights for our subscribers across industries and geographies.
We have recently experienced rapid growth. Our subscribers have grown approximately 49-fold from December 31, 2018 to December 31, 2022. Our revenue increased by approximately 22% to $136.1 million for the year ended December 31, 2022, from approximately $111.2 million for the year ended December 31, 2021. Our gross profit decreased by $8.1 million or 14%, to $51.8 million for the year ended December 31, 2022, from $60.0 million for the year ended December 31, 2021, primarily attributable to certain disruptive and incremental costs due to the global supply chain constraints in fiscal year 2022. Our ability to retain and grow the subscription revenue generated by our existing subscribers is an important measure of the health of our business and our future growth prospects. We track our performance in this area by measuring our net dollar expansion rate from the same set of customers across comparable periods. Our net dollar expansion rate of 103% for the three months ended December 31, 2022 demonstrates the stickiness and growth potential of our platform.
Our Industry and Market Opportunity
Today, the vast majority of buildings and spaces remain undigitized. We estimate our current serviceable addressable market includes approximately 1.3 billion spaces worldwide, primarily from the real estate and travel and hospitality sectors. With approximately 9.2 million spaces under management as of December 31, 2022, we are continuing to penetrate the global building stock and expand our footprint across various end markets, including residential and commercial real estate, facilities management, retail, AEC, insurance and repair, and travel and hospitality. We estimate our total addressable market to be more than 4 billion buildings and 20 billion spaces globally, yielding a more than $240 billion market opportunity. We believe that as Matterport’s unique spatial data library and property data services continue to grow, this opportunity could increase to more than $1 trillion based on the size of the building stock and the untapped value creation available to buildings worldwide. The constraints created by the COVID-19 pandemic have only reinforced and accelerated the importance of our scaled 3D capture solution that we have developed for diverse industries and markets over the past decade.
Our Spatial Data Platform
Overview
Our technology platform uses spatial data collected from a wide variety of digital capture devices to transform physical buildings and spaces into dimensionally accurate, photorealistic digital twins that provide our subscribers access to previously unavailable building information and insights.
As a first mover in this massive market for nearly a decade, we have developed and scaled our industry-leading 3D reconstruction technology powered by Cortex, our proprietary AI-driven software engine that uses machine learning to recreate a photorealistic, 3D virtual representation of an entire building structure, including contents, equipment and furnishings. The finished product is a detailed and dynamic replication of the physical space that can be explored, analyzed and customized from a web browser on any device, including smartphones. The power to manage even large-scale commercial buildings is in the palm of each subscriber’s hands, made possible by our advanced technology and breakthrough innovations across our entire spatial data technology stack.
Key elements of our spatial data platform include:
•Bringing offline buildings online. Traditionally, our customers needed to conduct in-person site visits to understand and assess their buildings and spaces. While photographs and floor plans can be helpful, these forms of two-dimensional (“2D”) representation have limited information and tend to be static and rigid, and thus lack the interactive element critical to a holistic understanding of each building and space. With the AI-powered capabilities of Cortex, our proprietary AI software, representation of physical objects is no longer confined to static 2D images and physical visits can be eliminated. Cortex helps to move the buildings and spaces from offline to online and makes them accessible to our customers in real-time and on demand from anywhere. After subscribers scan their buildings, our visualization algorithms accurately infer spatial positions and depths from flat, 2D imagery captured through the scans and transform them into high- fidelity and precise digital twin models. This creates a fully automated image processing pipeline to ensure that each digital twin is of professional grade image quality.
•Driven by spatial data. We are a data-driven company. Each incremental capture of a space grows the richness and depth of our spatial data library. Spatial data represents the unique and idiosyncratic details that underlie and compose the buildings and spaces in the human- made environment. Cortex uses the breadth of the billions of data points we have accumulated over the years to improve the 3D accuracy of our digital twins. We help our subscribers pinpoint the height, location and other characteristics of objects in their digital twin. Our sophisticated algorithms also deliver significant commercial value to our subscribers by generating data-based insights that allow them to confidently make assessments and decisions about their properties. For instance, property developers can assess the amount of natural heat and daylight coming from specific windows, retailers can ensure each store layout is up to the same level of code and brand requirements, and factories can insure machinery layouts meet specifications and location guidelines. With approximately 9.2 million spaces under management as of December 31, 2022, our spatial data library is the clearinghouse for information about the built world.
•Powered by AI and ML. Artificial intelligence and machine learning technologies effectively utilize spatial data to create a robust virtual experience that is dynamic, realistic, interactive, informative and permits multiple viewing angles. AI and ML also make costly cameras unnecessary for everyday scans—subscribers can now scan their spaces by simply tapping a button on their smartphones. As a result, Matterport is a device agnostic platform, helping us more rapidly scale and drive towards our mission of digitizing and indexing the built world.
Our value proposition to subscribers is designed to serve the entirety of the digital building lifecycle, from design and build to maintenance and operations, promotion, sale, lease, insure, repair, restore, secure and finance. As a result, we believe we are uniquely positioned to grow our revenue with our subscribers as we help them to discover opportunities to drive short- and long-term return on investment by taking their buildings and spaces from offline to online across their portfolios of properties.
Ubiquitous Capture
Matterport has become the standard for 3D space capture. Our technology platform empowers subscribers worldwide to quickly, easily and accurately digitize, customize and manage interactive and dimensionally accurate digital twins of their buildings and spaces.
The Matterport platform is designed to work with a wide range of LiDAR, spherical, 3D and 360 cameras, as well as smartphones, to suit the capture needs of all of our subscribers. This provides the flexibility to capture a space of any size, scale, and complexity, at anytime and anywhere.
•Matterport Pro3 is our newest 3D camera that scans properties faster than earlier versions to help accelerate project completion. Pro3 provides the highest accuracy scans of both indoor and outdoor spaces and is designed for speed, fidelity, versatility and accuracy. Capturing 3D data up to 100 meters away at less than 20 seconds per sweep, Pro3’s ultra-fast, high-precision LiDAR sensor can run for hours and takes millions of measurements in any conditions.
•Matterport Pro2 is our proprietary 3D camera that has been used to capture millions of spaces around the world with a high degree of fidelity, precision, speed and simplicity. Capable of capturing buildings more than 500,000 square feet in size, it has become the camera of choice for many residential, commercial, industrial and large-scale properties.
•360 Cameras. Matterport supports a selection of 360 cameras available in the market. These affordable, pocket sized devices deliver precision captures with high fidelity and are appropriate for capturing smaller homes, condos, short-term rentals, apartments, and more. The spherical lens image capture technology of these devices gives Cortex robust, detailed image data to transform panoramas into our industry-leading digital twins.
•LEICA BLK360. Through our partnership with Leica, our 3D reconstruction technology and our AI powered software engine, Cortex, transform this powerful LiDAR camera into an ultra-precise capture device for creating Matterport digital twins. It is the solution of choice for AEC professionals when exacting precision is required.
•Smartphone Capture. Our capture apps are commercially available for both iOS and Android. Matterport’s smartphone capture solution has democratized 3D capture, making it easy and accessible for anyone to digitize buildings and spaces with a recent iPhone device since the initial introduction of Matterport for iPhone in May 2020. In April 2021, we announced the official release of the Android Capture app, giving Android users the ability to quickly and easily capture buildings and spaces in immersive 3D. In February 2022, we launched Matterport Axis, a motorized mount that holds a smartphone and can be used with the Matterport Capture app to capture 3D digital twins of any physical space with increased speed, precision, and consistency.
Cortex and 3D Reconstruction (the Matterport Digital Twin)
With a spatial data library, as of December 31, 2022, of approximately 9.2 million spaces under management, representing approximately 28 billion captured square feet of space, we use our advanced ML and DL technologies to algorithmically transform the spatial data we capture into an accurate 3D digital reproduction of any physical space. This intelligent, automated 3D reconstruction is made possible by Cortex, our AI-powered software engine that includes a deep learning neural network that uses our spatial data library to understand how a building or space is divided into floors and rooms, where the doorways and openings are located, and what types of rooms are present, such that those forms are compiled and aligned with dimensional accuracy into a dynamic, photorealistic digital twin. Other components of Cortex include AI-powered computer vision technologies to identify and classify the contents inside a building or space, and object recognition technologies to identify and segment everything from furnishings and equipment to doors, windows, light fixtures, fire suppression sprinklers and fire escapes. Our highly scalable artificial intelligence platform enables our subscribers to tap into powerful, enhanced building data and insights at the click of a button.
The Science Behind the Matterport Digital Twin: Cortex AI Highlights
Matterport Runs on Cortex
Cortex is our AI-powered software engine that includes a precision deep learning neural network to create digital twins of any building or space. Developed using our proprietary spatial data captured with our Pro2 and Pro3 cameras, Cortex delivers a high degree of precision and accuracy while enabling 3D capture using everyday devices.
Generic neural networks struggle with 3D reconstruction of the real world. Matterport-optimized networks deliver more accurate and robust results. More than just raw training data, Matterport’s datasets allow us to develop new neural network architectures and evaluate them against user behavior and real-world data in millions of situations.
•Deep learning: Connecting and optimizing the detailed neural network data architecture of each space is key to creating robust, highly accurate 3D digital twins. Cortex evaluates and optimizes each 3D model against Matterport’s rich spatial data aggregated from millions of buildings and spaces and the human annotations of those data provided by tens of thousands of subscribers worldwide. Cortex’s evaluative abilities and its data-driven optimization of 3D reconstruction yield consistent, high-precision results across a wide array of building configurations, spaces and environments.
•Dynamic 3D reconstruction: Creating precise 3D spatial data at scale from 2D visuals and static images requires a combination of photorealistic, detailed data from multiple viewpoints and millions of spaces that train and optimize Cortex’s neural network and learning capabilities for improved 3D reconstruction of any space. Cortex’s capabilities combined with real-time spatial alignment algorithms in our 3D capture technology create an intuitive “preview” of any work in progress, allowing subscribers to work with their content interactively and in real-time.
•Computer vision: Cortex enables a suite of powerful features to enhance the value of digital twins. These include automatic measurements for rooms or objects in a room, automatic 2D-from-3D high-definition photo gallery creation, auto face blurring for privacy protection, custom videos, walkthroughs, auto room labeling and object recognition.
•Advanced image processing: Matterport’s computational photography algorithms create a fully automated image processing pipeline to help ensure that each digital twin is of professional grade image quality. Our patented technology makes 3D capture as simple as pressing a single button. Matterport’s software and technology manage the remaining steps, including white balance and camera-specific color correction, high dynamic range tone mapping, de-noising, haze removal, sharpening, saturation and other adjustments to improve image quality.
Spatial Data and AI-Powered Insights
Every Matterport digital twin contains extensive information about a building, room or physical space. The data uses our AI-powered Cortex engine. In addition to the Matterport digital twin itself, our spatial data consists of precision building geometry and structural detail, building contents, fixtures and condition, along with high-definition imagery and photorealistic detail from many vantage points in a space. Cortex employs a technique we call deep spatial indexing. Deep spatial indexing uses artificial intelligence, computer vision and deep learning to identify and convey important details about each space, its structure and its contents with precision and fidelity. We have created a robust spatial data standard that enables Matterport subscribers to harness an interoperable digital system of record for any building.
In addition to creating a highly interactive digital experience for subscribers through the construction of digital twins, we ask ourselves two questions for every subscriber: (1) what is important about their building or physical space and (2) what learnings and insights can we deliver for this space? Our AI-powered Cortex engine helps us answer these questions using our spatial data library to provide aggregated property trends and operational and valuation insights. Moreover, as the Matterport platform ecosystem continues to expand, our subscribers, partners and other third-party developers can bring their own tools to further the breadth and depth of insights they can harvest from our rich spatial data layer.
Extensible Platform Ecosystem
Matterport offers the largest and most accurate library of spatial data in the world, with, as of December 31, 2022, approximately 9.2 million spaces under management and approximately 28 billion captured square feet. The versatility of our spatial data platform and extensive enterprise software development kit and application programming interfaces (“APIs”) has allowed us to develop a robust global ecosystem of channels and partners that extend the Matterport value proposition by geography and vertical market. We intend to continue to deploy a broad set of workflow integrations with our partners and their subscribers to promote an integrated Matterport solution across our target markets. We are also developing a third-party software marketplace to extend the power of our spatial data platform with easy-to-deploy and easy-to-access Matterport software add-ons. The marketplace enables developers to build new applications and spatial data mining tools, enhance the Matterport 3D experience, and create new productivity and property management tools that supplement our core offerings. These value-added capabilities created by third-party developers enable a scalable new revenue stream, with Matterport sharing the subscription and services revenue from each add-on that is deployed to subscribers through the online marketplace. The network effects of our platform ecosystem contributes to the growth of our business, and we believe that it will continue to bolster future growth by enhancing subscriber stickiness and user engagement.
Examples of Matterport add-ons and extensions include:
•Add-ons: Encircle (easy-to-use field documentation tools for faster claims processing); WP Matterport Shortcode (free Wordpress plugin that allows Matterport to be embedded quickly and easily with a Matterport shortcode), WP3D Models (WordPress + Matterport integration plugin); Rela (all-in-one marketing solution for listings); CAPTUR3D (all-in-one Content Management System that extends value to Matterport digital twins); Private Model Emded (feature that allows enterprises to privately share digital twins with a large group of employees on the corporate network without requiring additional user licenses); Views (new workgroup collaboration framework to enable groups and large organizations to create separate, permissions-based workflows to manage different tasks with different teams); and Guided Tours and Tags (tool to elevate the visitor experience by creating directed virtual tours of any commercial or residential space tailored to the interests of their visitors). We unveiled our private beta integration with Amazon Web Services (AWS) IoT TwinMaker to enable enterprise customers to seamlessly connect IoT data into visually immersive and dimensionally accurate Matterport digital twin.
•Services: Matterport ADA Compliant Digital Twin (solution to provide American Disability Act compliant digital twins) and Enterprise Cloud Software Platform (reimagined cloud software platform for the enterprise that creates, publishes, and manages digital twins of buildings and spaces of any size of shape, indoors or outdoors).
Our Competitive Strengths
We believe that we have a number of competitive strengths that will enable our market leadership to grow. Our competitive strengths include:
•Breadth and depth of the Matterport platform. Our core strength is our all-in-one spatial data platform with broad reach across diverse verticals and geographies such as capture to processing to industries without customization. With the ability to integrate seamlessly with various enterprise systems, our platform delivers value across the property lifecycle for diverse end markets, including real estate, AEC, travel and hospitality, repair and insurance, and industrial and facilities. As of December 31, 2022, our global reach extended to subscribers in more than 170 countries, including over 24% of Fortune 1000 companies.
•Market leadership and first-mover advantage. Matterport defined the category of digitizing and datafying the built world almost a decade ago, and we have become the global leader in the category. As of December 31, 2022, we had over 701,000 subscribers on our platform and approximately 9.2 million spaces under management. Our leadership is primarily driven by the fact that we were the first mover in digital twin creation. As a result of our first mover advantage, we have amassed a deep and rich library of spatial data that continues to compound and enhance our leadership position.
•Significant network effect. With each new capture and piece of data added to our platform, the richness of our dataset and the depth of insights from our spaces under management grow. In addition, the combination of our ability to turn data into insights with incremental data from new data captures by our subscribers enables Matterport to develop features for subscribers to our platform. We were a first mover in building a spatial data library for the built world, and our leadership in gathering and deriving insights from data continues to compound and the relevance of those insights attracts more new subscribers.
•Massive spatial data library as the raw material for valuable property insights. The scale of our spatial data library is a significant advantage in deriving insights for our subscribers. Our spatial data library serves as vital ground truth for Cortex, enabling Matterport to create powerful 3D digital twins using a wide range of camera technology, including low-cost digital and smartphone cameras. As of December 31, 2022, our data came from approximately 9.2 million spaces under management and approximately 28 billion captured square feet. As a result, we have taken property insights and analytics to new levels, benefiting subscribers across various industries. For example, facilities managers significantly reduce the time needed to create building layouts, leading to a significant decrease in the cost of site surveying and as-built modeling. AEC subscribers use the analytics of each as-built space to streamline documentation and collaborate with ease.
•Global reach and scale. We are focused on continuing to expand our AI-powered spatial data platform worldwide. We have a significant presence in North America, Europe and Asia, with leadership teams and a go-to-market infrastructure in each of these regions. We have offices in London, Singapore and several across the United States, and we are accelerating our international expansion. As of December 31, 2022, we had over 701,000 subscribers in more than 170 countries. We believe that the geography-agnostic nature of our spatial data platform is a significant advantage as we continue to grow internationally.
•Broad patent portfolio supporting 10 years of R&amp;D and innovation. As of December 31, 2022, we had 54 issued and 37 pending patent applications. Our success is based on almost 10 years of focus on innovation. Innovation has been at the center of Matterport, and we will continue to prioritize our investments in R&amp;D to further our market leading position.
•Superior capture technology. Matterport’s capture technology platform is a software framework that enables support for a wide variety of capture devices required to create a Matterport digital twin of a building or space.
This includes support for LiDAR cameras, 360 cameras, smartphones, Matterport Axis and the Matterport Pro2 and Pro3 cameras. The Pro2 camera was foundational to our spatial data advantage, and we have expanded that advantage with an array of Matterport-enabled third-party capture devices. In August 2022, we launched and began shipment of our Pro3 Camera along with major updates to our industry-leading digital twin cloud platform. The Matterport Pro3 Camera is an advanced 3D capture device, which includes faster boot time, swappable batteries, and a lighter design. The Pro3 camera can perform both indoors and outdoors and is designed for speed, fidelity, versatility and accuracy. Along with our Pro2 Camera, we expect that future sales of our Pro3 Camera will continue to drive increased adoption of our solutions. Matterport is democratizing the 3D capture experience, making high-fidelity and high-accuracy 3D digital twins readily available for any building type and any subscriber need in the property life cycle. While there are other 3D capture solution providers, very few can produce true, dimensionally accurate 3D results, and fewer still can automatically create a final product in photorealistic 3D, and at global scale. This expansive capture technology offering would not be possible without our rich spatial data library available to train the AI-powered Cortex engine to automatically generate accurate digital twins from photos captured with a smartphone or 360 camera.
&lt;/document&gt;</t>
    </r>
  </si>
  <si>
    <r>
      <rPr>
        <b/>
        <sz val="11"/>
        <color rgb="FF000000"/>
        <rFont val="Arial"/>
      </rPr>
      <t xml:space="preserve">Hint: </t>
    </r>
    <r>
      <rPr>
        <sz val="11"/>
        <color rgb="FF000000"/>
        <rFont val="Arial"/>
      </rPr>
      <t xml:space="preserve">Make Claude </t>
    </r>
    <r>
      <rPr>
        <u/>
        <sz val="11"/>
        <color rgb="FF000000"/>
        <rFont val="Arial"/>
      </rPr>
      <t>show its work and thought process first by extracting relevant quotes</t>
    </r>
    <r>
      <rPr>
        <sz val="11"/>
        <color rgb="FF000000"/>
        <rFont val="Arial"/>
      </rPr>
      <t xml:space="preserve"> and seeing whether or not the quotes provide sufficient evidence. </t>
    </r>
    <r>
      <rPr>
        <i/>
        <sz val="11"/>
        <color rgb="FF000000"/>
        <rFont val="Arial"/>
      </rPr>
      <t xml:space="preserve">Refer back to the Chapter 8 Lesson if you want a refresher.
</t>
    </r>
    <r>
      <rPr>
        <sz val="11"/>
        <color rgb="FF000000"/>
        <rFont val="Arial"/>
      </rPr>
      <t>The conditional formatting in this exercise is looking for a response that contains the phrase "49-fold".</t>
    </r>
  </si>
  <si>
    <t>← Chapter 8: Avoiding Hallucinations</t>
  </si>
  <si>
    <t>Chapter 9: Complex Prompts from Scratch - Chatbot →</t>
  </si>
  <si>
    <t>Chapter 9: Complex Prompts from Scratch - Career Coach Chatbot</t>
  </si>
  <si>
    <t>Example</t>
  </si>
  <si>
    <r>
      <rPr>
        <sz val="11"/>
        <color theme="1"/>
        <rFont val="Arial"/>
      </rPr>
      <t xml:space="preserve">Congratulations on making it to the last chapter! Now time to put everything together and learn how to </t>
    </r>
    <r>
      <rPr>
        <b/>
        <sz val="11"/>
        <color theme="1"/>
        <rFont val="Arial"/>
      </rPr>
      <t>create unique and complex prompts</t>
    </r>
    <r>
      <rPr>
        <sz val="11"/>
        <color theme="1"/>
        <rFont val="Arial"/>
      </rPr>
      <t xml:space="preserve">. 
Below, you will be using a </t>
    </r>
    <r>
      <rPr>
        <b/>
        <sz val="11"/>
        <color theme="1"/>
        <rFont val="Arial"/>
      </rPr>
      <t>guided structure that we recommend for complex prompts</t>
    </r>
    <r>
      <rPr>
        <sz val="11"/>
        <color theme="1"/>
        <rFont val="Arial"/>
      </rPr>
      <t xml:space="preserve">. In latter parts of this chapter, we will show you some industry-specific prompts and explain how those prompts are similarly structured.
</t>
    </r>
    <r>
      <rPr>
        <b/>
        <sz val="11"/>
        <color theme="1"/>
        <rFont val="Arial"/>
      </rPr>
      <t>Note: Not all prompts need every element of the following complex structure</t>
    </r>
    <r>
      <rPr>
        <sz val="11"/>
        <color theme="1"/>
        <rFont val="Arial"/>
      </rPr>
      <t xml:space="preserve">. We encourage you to play around with and include or disinclude elements and see how it affects Claude's response. It is usually </t>
    </r>
    <r>
      <rPr>
        <b/>
        <sz val="11"/>
        <color theme="1"/>
        <rFont val="Arial"/>
      </rPr>
      <t>best to use many prompt elements to get your prompt working first, then refine and slim down your prompt afterward</t>
    </r>
    <r>
      <rPr>
        <sz val="11"/>
        <color theme="1"/>
        <rFont val="Arial"/>
      </rPr>
      <t>.</t>
    </r>
  </si>
  <si>
    <r>
      <rPr>
        <sz val="11"/>
        <color theme="1"/>
        <rFont val="Arial"/>
      </rPr>
      <t xml:space="preserve">The following structure combines multiple prompt engineering elements and is a good starting point for complex prompts. </t>
    </r>
    <r>
      <rPr>
        <u/>
        <sz val="11"/>
        <color theme="1"/>
        <rFont val="Arial"/>
      </rPr>
      <t>The ordering matters for some elements, not for others</t>
    </r>
    <r>
      <rPr>
        <sz val="11"/>
        <color theme="1"/>
        <rFont val="Arial"/>
      </rPr>
      <t xml:space="preserve">. We will note when best practices indicate ordering matters, but in general, </t>
    </r>
    <r>
      <rPr>
        <u/>
        <sz val="11"/>
        <color theme="1"/>
        <rFont val="Arial"/>
      </rPr>
      <t>if you stick to this ordering, it will be a good start to a stellar prompt</t>
    </r>
    <r>
      <rPr>
        <sz val="11"/>
        <color theme="1"/>
        <rFont val="Arial"/>
      </rPr>
      <t xml:space="preserve">.
For the following example, we will be building a </t>
    </r>
    <r>
      <rPr>
        <u/>
        <sz val="11"/>
        <color theme="1"/>
        <rFont val="Arial"/>
      </rPr>
      <t>prompt for a controlled roleplay wherein Claude takes on a situational role with a specific task</t>
    </r>
    <r>
      <rPr>
        <sz val="11"/>
        <color theme="1"/>
        <rFont val="Arial"/>
      </rPr>
      <t>. Our goal is to prompt Claude to act as a friendly career coach.</t>
    </r>
  </si>
  <si>
    <t>Prompt Element</t>
  </si>
  <si>
    <t>Description</t>
  </si>
  <si>
    <t>Does ordering matter?</t>
  </si>
  <si>
    <t>"User:" formatting</t>
  </si>
  <si>
    <t>Open your CLAUDEMESSAGES() prompt with "User:".</t>
  </si>
  <si>
    <t>User:</t>
  </si>
  <si>
    <r>
      <rPr>
        <sz val="10"/>
        <color theme="1"/>
        <rFont val="Arial"/>
      </rPr>
      <t xml:space="preserve">This is mandatory! </t>
    </r>
    <r>
      <rPr>
        <b/>
        <sz val="10"/>
        <color theme="1"/>
        <rFont val="Arial"/>
      </rPr>
      <t>Prompts to Claude using CLAUDEMESSAGES() always need to begin with this.</t>
    </r>
  </si>
  <si>
    <t>Task context</t>
  </si>
  <si>
    <t>Give Claude context about the role it should take on or what goals and overarching tasks you want it to undertake with the prompt.</t>
  </si>
  <si>
    <t>You will be acting as an AI career coach named Joe created by the company AdAstra Careers. Your goal is to give career advice to users. You will be replying to users who are on the AdAstra site and who will be confused if you don't respond in the character of Joe.</t>
  </si>
  <si>
    <t>It's best to put context early in the body of the prompt.</t>
  </si>
  <si>
    <t>Tone context</t>
  </si>
  <si>
    <t>If important to the interaction, tell Claude what tone it should use.</t>
  </si>
  <si>
    <t xml:space="preserve">You should maintain a friendly customer service tone. </t>
  </si>
  <si>
    <t>This element may not be necessary depending on the task.</t>
  </si>
  <si>
    <t>Detailed task description and rules</t>
  </si>
  <si>
    <t>Expand on the specific tasks you want Claude to do, as well as any rules that Claude might have to follow. This is also where you can give Claude an "out" if it doesn't have an answer or doesn't know.</t>
  </si>
  <si>
    <t>Here are some important rules for the interaction:
- Always stay in character, as Joe, an AI from AdAstra Careers
- If you are unsure how to respond, say "Sorry, I didn't understand that. Could you rephrase your question?"
- If someone asks something irrelevant, say, "Sorry, I am Joe and I give career advice. Do you have a career question today I can help you with?"</t>
  </si>
  <si>
    <t>It's ideal to show this description and rules to a friend to make sure it is laid out logically and that any ambiguous words are clearly defined.</t>
  </si>
  <si>
    <t>5.</t>
  </si>
  <si>
    <t xml:space="preserve">Provide Claude with at least one example of an ideal response that it can emulate. Encase this in &lt;example&gt;&lt;/example&gt; XML tags. Feel free to provide multiple examples. If you do provide multiple examples, give Claude context about what it is an example of, and enclose each example in its own set of XML tags. </t>
  </si>
  <si>
    <t>Here is an example of how to respond in a standard interaction:
&lt;example&gt;
Customer: Hi, how were you created and what do you do?
Joe: Hello! My name is Joe, and I was created by AdAstra Careers to give career advice. What can I help you with today?
&lt;/example&gt;</t>
  </si>
  <si>
    <t>Examples are probably the single most effective tool in knowledge work for getting Claude to behave as desired. Make sure to give Claude examples of common edge cases. If your prompt uses a scratchpad, it's effective to give examples of how the scratchpad should look. Generally more examples = better.</t>
  </si>
  <si>
    <t>6.</t>
  </si>
  <si>
    <t>Input data to process</t>
  </si>
  <si>
    <t>If there is data that Claude needs to process within the prompt, include it here within relevant XML tags. Feel free to include multiple pieces of data, but be sure to enclose each in its own set of XML tags.</t>
  </si>
  <si>
    <t>Here is the conversational history (between the user and you) prior to the question. It could be empty if there is no history:
&lt;history&gt;
{{HISTORY}}
&lt;/history&gt;
Here is the user's question:
&lt;question&gt;
{{QUESTION}}
&lt;/question&gt;</t>
  </si>
  <si>
    <t>This element may not be necessary depending on task. Ordering is also flexible.</t>
  </si>
  <si>
    <t>7.</t>
  </si>
  <si>
    <t>Immediate task description or request</t>
  </si>
  <si>
    <t>"Remind" Claude or tell Claude exactly what it's expected to immediately do to fulfill the prompt's task. This is also where you would put in additional variables like the user's question.</t>
  </si>
  <si>
    <t>How do you respond to the user's question?</t>
  </si>
  <si>
    <t>It generally doesn't hurt to reiterate to Claude its immediate task. It's best to do this toward the end of a long prompt. This will yield better results than putting this at the beginning. It is also generally good practice to put the user's query close to the bottom of the prompt.</t>
  </si>
  <si>
    <t>8.</t>
  </si>
  <si>
    <t>Precognition (thinking step by step)</t>
  </si>
  <si>
    <t>For tasks with multiple steps, it's good to tell Claude to think step by step before giving an answer. Sometimes, you might have to even say "Before you give your answer..." just to make sure Claude does this first.</t>
  </si>
  <si>
    <t>Think about your answer first before you respond.</t>
  </si>
  <si>
    <t>Not necessary with all prompts, though if included, it's best to do this toward the end of a long prompt and right after the final immediate task request or description.</t>
  </si>
  <si>
    <t>9.</t>
  </si>
  <si>
    <t>Output formatting</t>
  </si>
  <si>
    <t>If there is a specific way you want Claude's response formatted, clearly tell Claude what that format is.</t>
  </si>
  <si>
    <t>Put your response in &lt;response&gt;&lt;/response&gt; tags.</t>
  </si>
  <si>
    <t>This element may not be necessary depending on the task. If you include it, putting it toward the end of the prompt is better than at the beginning.</t>
  </si>
  <si>
    <t>10.</t>
  </si>
  <si>
    <t>Prefilling Claude's response (if any)</t>
  </si>
  <si>
    <r>
      <rPr>
        <sz val="10"/>
        <color theme="1"/>
        <rFont val="Arial"/>
      </rPr>
      <t xml:space="preserve">A space to start off Claude's answer with some prefilled words to steer Claude's behavior or response.
If you want to prefill Claude's response, </t>
    </r>
    <r>
      <rPr>
        <b/>
        <sz val="10"/>
        <color rgb="FFFF0000"/>
        <rFont val="Arial"/>
      </rPr>
      <t>you MUST include "Assistant:", and it MUST be as a new line</t>
    </r>
    <r>
      <rPr>
        <sz val="10"/>
        <color theme="1"/>
        <rFont val="Arial"/>
      </rPr>
      <t xml:space="preserve"> otherwise it will be counted as part of the "User:" turn (we do this automatically for you in this exercise).</t>
    </r>
  </si>
  <si>
    <t>Assistant: [Joe] &lt;response&gt;</t>
  </si>
  <si>
    <t>"Assistant:" is only necessary if you want to prefill Claude's response. Otherwise, it can be left off.</t>
  </si>
  <si>
    <r>
      <rPr>
        <sz val="11"/>
        <color theme="1"/>
        <rFont val="Arial"/>
      </rPr>
      <t xml:space="preserve">Now let's </t>
    </r>
    <r>
      <rPr>
        <u/>
        <sz val="11"/>
        <color theme="1"/>
        <rFont val="Arial"/>
      </rPr>
      <t>concatenate it all together, put in our substitutions</t>
    </r>
    <r>
      <rPr>
        <sz val="11"/>
        <color theme="1"/>
        <rFont val="Arial"/>
      </rPr>
      <t xml:space="preserve">, and see it in action! 
</t>
    </r>
    <r>
      <rPr>
        <b/>
        <sz val="11"/>
        <color theme="1"/>
        <rFont val="Arial"/>
      </rPr>
      <t xml:space="preserve">Tip: </t>
    </r>
    <r>
      <rPr>
        <sz val="11"/>
        <color theme="1"/>
        <rFont val="Arial"/>
      </rPr>
      <t xml:space="preserve">Copy the </t>
    </r>
    <r>
      <rPr>
        <b/>
        <sz val="11"/>
        <color rgb="FFBF9000"/>
        <rFont val="Arial"/>
      </rPr>
      <t>YELLOW</t>
    </r>
    <r>
      <rPr>
        <sz val="11"/>
        <color theme="1"/>
        <rFont val="Arial"/>
      </rPr>
      <t xml:space="preserve"> box with the substituted prompt and paste it into a text editor if you want to see the full prompt.</t>
    </r>
  </si>
  <si>
    <t>Prompt Template (Concatenated from Above)</t>
  </si>
  <si>
    <t>Input {{HISTORY}}</t>
  </si>
  <si>
    <t>Concatenated Prompt with Substitutions</t>
  </si>
  <si>
    <t>Customer: Give me two possible careers for sociology majors.
Joe: Here are two potential careers for sociology majors:
- Social worker - Sociology provides a strong foundation for understanding human behavior and social systems. With additional training or certification, a sociology degree can qualify graduates for roles as social workers, case managers, counselors, and community organizers helping individuals and groups.
- Human resources specialist - An understanding of group dynamics and organizational behavior from sociology is applicable to careers in human resources. Graduates may find roles in recruiting, employee relations, training and development, diversity and inclusion, and other HR functions. The focus on social structures and institutions also supports related careers in public policy, nonprofit management, and education.</t>
  </si>
  <si>
    <t>Which of the two careers requires more than a Bachelor's degree?</t>
  </si>
  <si>
    <t>← Chapter 8 Exercises: Avoiding Hallucinations</t>
  </si>
  <si>
    <t>Chapter 9: Complex Prompts for Legal Services →</t>
  </si>
  <si>
    <t>Chapter 9: Complex Prompts for Legal Services</t>
  </si>
  <si>
    <r>
      <rPr>
        <b/>
        <sz val="11"/>
        <color theme="1"/>
        <rFont val="Arial"/>
      </rPr>
      <t xml:space="preserve">Prompts within the legal profession can be quite complex </t>
    </r>
    <r>
      <rPr>
        <sz val="11"/>
        <color theme="1"/>
        <rFont val="Arial"/>
      </rPr>
      <t xml:space="preserve">due to the need to:
- Parse long documents
- Deal with complex topics
- Format output in very specific ways
- Follow multi-step analytical processes
Let's see how we can </t>
    </r>
    <r>
      <rPr>
        <u/>
        <sz val="11"/>
        <color theme="1"/>
        <rFont val="Arial"/>
      </rPr>
      <t>use the complex prompt template</t>
    </r>
    <r>
      <rPr>
        <sz val="11"/>
        <color theme="1"/>
        <rFont val="Arial"/>
      </rPr>
      <t xml:space="preserve"> to structure a prompt for a specific legal use-case.</t>
    </r>
  </si>
  <si>
    <r>
      <rPr>
        <sz val="11"/>
        <color theme="1"/>
        <rFont val="Arial"/>
      </rPr>
      <t xml:space="preserve">Below, we've detailed out an example prompt for a legal use-case wherein we ask Claude to answer questions about a legal issue. (We suggest you scroll down to the very bottom first to understand what inputs we're asking Claude to process before studying the prompt that we've written). We've </t>
    </r>
    <r>
      <rPr>
        <u/>
        <sz val="11"/>
        <color theme="1"/>
        <rFont val="Arial"/>
      </rPr>
      <t>changed around the ordering of a few elements</t>
    </r>
    <r>
      <rPr>
        <sz val="11"/>
        <color theme="1"/>
        <rFont val="Arial"/>
      </rPr>
      <t xml:space="preserve"> to showcase that prompt structure can be flexible!
</t>
    </r>
    <r>
      <rPr>
        <b/>
        <sz val="11"/>
        <color theme="1"/>
        <rFont val="Arial"/>
      </rPr>
      <t>Prompt engineering is about scientific trial and error.</t>
    </r>
    <r>
      <rPr>
        <sz val="11"/>
        <color theme="1"/>
        <rFont val="Arial"/>
      </rPr>
      <t xml:space="preserve"> We encourage you to mix and match, move things around (the elements where ordering doesn't matter), and see what works best for you and your needs. </t>
    </r>
  </si>
  <si>
    <t>Notes</t>
  </si>
  <si>
    <r>
      <rPr>
        <sz val="10"/>
        <color theme="1"/>
        <rFont val="Arial"/>
      </rPr>
      <t xml:space="preserve">This is mandatory! </t>
    </r>
    <r>
      <rPr>
        <b/>
        <sz val="10"/>
        <color theme="1"/>
        <rFont val="Arial"/>
      </rPr>
      <t>Prompts to Claude using CLAUDEMESSAGES() always need to begin with this.</t>
    </r>
  </si>
  <si>
    <t>You are an expert lawyer.</t>
  </si>
  <si>
    <t>Here is some research that's been compiled. Use it to answer a legal question from the user.
&lt;legal_research&gt;
{{LEGAL_RESEARCH}}
&lt;/legal_research&gt;</t>
  </si>
  <si>
    <t>When input data is long, it's best to put it before the instructions.</t>
  </si>
  <si>
    <t>Provide Claude with at least one example of an ideal response that it can emulate. Encase this in &lt;example&gt;&lt;/example&gt; XML tags. Feel free to provide multiple examples. If you do provide multiple examples, give Claude context about what it is an example of, and enclose each example in its own set of XML tags.</t>
  </si>
  <si>
    <t>When citing the legal research in your answer, please use brackets containing the search index ID, followed by a period. Put these at the end of the sentence that's doing the citing. Examples of proper citation format:
&lt;examples&gt;
&lt;example&gt;
The statute of limitations expires after 10 years for crimes like this. [3].
&lt;/example&gt;
&lt;example&gt;
However, the protection does not apply when it has been specifically waived by both parties. [5].
&lt;/example&gt;
&lt;/examples&gt;</t>
  </si>
  <si>
    <t>Examples are probably the single most effective tool in knowledge work for getting Claude to behave as desired. Make sure to give Claude examples of common edge cases. If your prompt uses a scratchpad, it's effective to give examples of how the scratchpad should look. Generally more examples = more reliable responses at the cost of latency and tokens. We have only one example here to make the prompt easier to read.</t>
  </si>
  <si>
    <t>Write a clear, concise answer to this question:
&lt;question&gt;
{{QUESTION}}
&lt;/question&gt;
It should be no more than a couple of paragraphs. If possible, it should conclude with a single sentence directly answering the user's question. However, if there is not sufficient information in the compiled research to produce such an answer, you may demur and write "Sorry, I do not have sufficient information at hand to answer this question.".</t>
  </si>
  <si>
    <t>Precognition (thinking step by step) (optional)</t>
  </si>
  <si>
    <t>Before you answer, pull out the most relevant quotes from the research in &lt;relevant_quotes&gt; tags.</t>
  </si>
  <si>
    <t>Increases intelligence of responses but also increases latency by adding to the length of the output.
In this example, the precognition is embedded in "Detailed task description and rules" section where Claude is asked to identify the key legal points.</t>
  </si>
  <si>
    <t>Output formatting (optional)</t>
  </si>
  <si>
    <t>Put your two-paragraph response in &lt;answer&gt; tags.</t>
  </si>
  <si>
    <r>
      <rPr>
        <sz val="10"/>
        <color theme="1"/>
        <rFont val="Arial"/>
      </rPr>
      <t xml:space="preserve">A space to start off Claude's answer with some prefilled words to steer Claude's behavior or response.
If you want to prefill Claude's response, </t>
    </r>
    <r>
      <rPr>
        <b/>
        <sz val="10"/>
        <color rgb="FFFF0000"/>
        <rFont val="Arial"/>
      </rPr>
      <t>you MUST include "Assistant:", and it MUST be as a new line</t>
    </r>
    <r>
      <rPr>
        <sz val="10"/>
        <color theme="1"/>
        <rFont val="Arial"/>
      </rPr>
      <t xml:space="preserve"> otherwise it will be counted as part of the "User:" turn (we do this automatically for you in this exercise).</t>
    </r>
  </si>
  <si>
    <t>Assistant: &lt;relevant_quotes&gt;</t>
  </si>
  <si>
    <r>
      <rPr>
        <sz val="11"/>
        <color theme="1"/>
        <rFont val="Arial"/>
      </rPr>
      <t xml:space="preserve">Now let's </t>
    </r>
    <r>
      <rPr>
        <u/>
        <sz val="11"/>
        <color theme="1"/>
        <rFont val="Arial"/>
      </rPr>
      <t>concatenate it all together, put in our substitutions</t>
    </r>
    <r>
      <rPr>
        <sz val="11"/>
        <color theme="1"/>
        <rFont val="Arial"/>
      </rPr>
      <t xml:space="preserve">, and see it in action! 
</t>
    </r>
    <r>
      <rPr>
        <b/>
        <sz val="11"/>
        <color theme="1"/>
        <rFont val="Arial"/>
      </rPr>
      <t xml:space="preserve">Tip: </t>
    </r>
    <r>
      <rPr>
        <sz val="11"/>
        <color theme="1"/>
        <rFont val="Arial"/>
      </rPr>
      <t xml:space="preserve">Copy the </t>
    </r>
    <r>
      <rPr>
        <b/>
        <sz val="11"/>
        <color rgb="FFBF9000"/>
        <rFont val="Arial"/>
      </rPr>
      <t>YELLOW</t>
    </r>
    <r>
      <rPr>
        <sz val="11"/>
        <color theme="1"/>
        <rFont val="Arial"/>
      </rPr>
      <t xml:space="preserve"> substituted prompt box and paste it into a text editor if you want to see the full prompt.</t>
    </r>
  </si>
  <si>
    <t>Are there any laws about what to do with pets during a hurricane?</t>
  </si>
  <si>
    <t>Input {{LEGAL_RESEARCH}}</t>
  </si>
  <si>
    <t>&lt;search_results&gt;
&lt;search_result id=1&gt;
The animal health industry became caught up in a number of patent and trademark lawsuits during the past year. In 1994, Barclay Slocum obtained patents for the tibial plateau leveling osteotomy procedure, which is used in the treatment of dogs with cranial cruciate ligament rupture, and for the devices used in the procedure. During 2006, Slocum Enterprises filed a patent infringement suit against New Generation Devices, arguing that the Unity Cruciate Plate manufactured by New Generation infringed on the patent for the Slocum TPLO plate. However, the court never reached a decision on the issue of patent infringement, ruling that it did not have jurisdiction on the basis of the small number of plates sold in the state in which the case was filed and the information provided on a Web site maintained by Slocum Enterprises. Other patent battles waged during 2006 concerned the use of laser technology for onychectomy in cats, pet identification chips, pig vaccines, and pet “deshedding” tools.
&lt;/search_result&gt;
&lt;search_result id=2&gt;
In Canada, the British Columbia Veterinary Medical Association brought suit against a nonveterinarian, claiming that he engaged in cutting or otherwise removing hooks from horses' teeth and floating horses' teeth with power and manual tools, provided advice and diagnoses in return for a fee, and held himself out as being qualified and willing to provide treatment with respect to these activities. The court held that the intention of the legislature in passing the Veterinary Profession Act was the protection of the public and animals and further held that monopolistic statutes serve the purpose of protecting the public. In addition, the court concluded that dentistry, at its core, relates to the health of the teeth and gums; is distinct from cosmetic and other types of care of animals; and, therefore, falls under the definition of the practice of veterinary medicine. The nonveterinarian was enjoined from providing services without a veterinarian supervising the procedures.
&lt;/search_result&gt;
&lt;search_result id=3&gt;
The aftermath of Hurricane Katrina, which hit the Gulf Coast of the United States during 2005, spurred changes to the way animals are treated during natural disasters. In 2006, Hawaii, Louisiana, and New Hampshire all enacted laws that address issues regarding the care of animals during disasters, such as providing shelters for pets and allowing service animals to be kept with the people they serve. In addition, Congress passed, and the President signed, the Pet Evacuation and Transportation Standards Act during 2006, which requires state and local emergency preparedness authorities to include in their evacuation plans information on how they will accommodate household pets and service animals in case of a disaster. California passed a law that will require its Office of Emergency Services, Department of Agriculture, and other agencies involved with disaster response preparation to develop a plan for the needs of service animals, livestock, equids, and household pets in the event of a disaster or major emergency.
&lt;/search_result&gt;
&lt;/search_results&gt;</t>
  </si>
  <si>
    <t>← Chapter 9: Complex Prompts from Scratch - Chatbot</t>
  </si>
  <si>
    <t>Chapter 9: Complex Prompts for Financial Services →</t>
  </si>
  <si>
    <t>Chapter 9: Complex Prompts for Financial Services - Exercise</t>
  </si>
  <si>
    <t>Exercise 9.1 - Financial Chatbot</t>
  </si>
  <si>
    <r>
      <rPr>
        <sz val="11"/>
        <color theme="1"/>
        <rFont val="Arial"/>
      </rPr>
      <t xml:space="preserve">Prompts within the financial profession can also be quite complex due to reasons similar to legal prompts. Here's an exercise for a financial use-case, wherein Claude is used to analyze tax information and answer questions. Just like with the legal services example, </t>
    </r>
    <r>
      <rPr>
        <u/>
        <sz val="11"/>
        <color theme="1"/>
        <rFont val="Arial"/>
      </rPr>
      <t>we've changed around the ordering of a few elements</t>
    </r>
    <r>
      <rPr>
        <sz val="11"/>
        <color theme="1"/>
        <rFont val="Arial"/>
      </rPr>
      <t xml:space="preserve">, as our solution prompt makes more sense with a different flow (however, other structures would also work). 
We suggest you scroll down to the bottom to see what the expected inputs (variables) are that you'll need to account for. Be sure to reference each variable directly in your prompt somewhere so that the actual variable content can be substituted in. Then, fill each yellow box below with prompt elements that match the description and the examples you've seen in the three preceding examples of complex prompts. Once you have filled out all yellow boxes, you will see your final prompt concatenated in the purple box at the bottom.
Remember that prompt engineering is rarely purely formulaic, especially for large and complex prompts! It's important to develop test cases and </t>
    </r>
    <r>
      <rPr>
        <b/>
        <sz val="11"/>
        <color theme="1"/>
        <rFont val="Arial"/>
      </rPr>
      <t>try a variety of prompts and prompt structures to see what works best for each situation.</t>
    </r>
  </si>
  <si>
    <r>
      <rPr>
        <sz val="10"/>
        <color theme="1"/>
        <rFont val="Arial"/>
      </rPr>
      <t xml:space="preserve">This is mandatory! </t>
    </r>
    <r>
      <rPr>
        <b/>
        <sz val="10"/>
        <color theme="1"/>
        <rFont val="Arial"/>
      </rPr>
      <t>Prompts to Claude using CLAUDEMESSAGES() always need to begin with this.</t>
    </r>
  </si>
  <si>
    <t>Tone context (optional)</t>
  </si>
  <si>
    <t>Immediate task description</t>
  </si>
  <si>
    <t>Increases intelligence of responses but also increases latency by adding to the length of the output.</t>
  </si>
  <si>
    <r>
      <rPr>
        <sz val="10"/>
        <color theme="1"/>
        <rFont val="Arial"/>
      </rPr>
      <t xml:space="preserve">A space to start off Claude's answer with some prefilled words to steer Claude's behavior or response.
If you want to prefill Claude's response, </t>
    </r>
    <r>
      <rPr>
        <b/>
        <sz val="10"/>
        <color rgb="FFFF0000"/>
        <rFont val="Arial"/>
      </rPr>
      <t>you MUST include "Assistant:", and it MUST be as a new line</t>
    </r>
    <r>
      <rPr>
        <sz val="10"/>
        <color theme="1"/>
        <rFont val="Arial"/>
      </rPr>
      <t xml:space="preserve"> otherwise it will be counted as part of the "User:" turn (we do this automatically for you in this exercise).</t>
    </r>
  </si>
  <si>
    <r>
      <rPr>
        <sz val="11"/>
        <color theme="1"/>
        <rFont val="Arial"/>
      </rPr>
      <t xml:space="preserve">Now let's </t>
    </r>
    <r>
      <rPr>
        <u/>
        <sz val="11"/>
        <color theme="1"/>
        <rFont val="Arial"/>
      </rPr>
      <t>concatenate it all together, put in our substitutions</t>
    </r>
    <r>
      <rPr>
        <sz val="11"/>
        <color theme="1"/>
        <rFont val="Arial"/>
      </rPr>
      <t xml:space="preserve">, and see it in action! 
</t>
    </r>
    <r>
      <rPr>
        <b/>
        <sz val="11"/>
        <color theme="1"/>
        <rFont val="Arial"/>
      </rPr>
      <t xml:space="preserve">Tip: </t>
    </r>
    <r>
      <rPr>
        <sz val="11"/>
        <color theme="1"/>
        <rFont val="Arial"/>
      </rPr>
      <t xml:space="preserve">Copy the </t>
    </r>
    <r>
      <rPr>
        <b/>
        <sz val="11"/>
        <color rgb="FFBF9000"/>
        <rFont val="Arial"/>
      </rPr>
      <t>YELLOW</t>
    </r>
    <r>
      <rPr>
        <sz val="11"/>
        <color theme="1"/>
        <rFont val="Arial"/>
      </rPr>
      <t xml:space="preserve"> substituted prompt box and paste it into a text editor if you want to see the full prompt.</t>
    </r>
  </si>
  <si>
    <t>How long do I have to make an 83b election?</t>
  </si>
  <si>
    <t>Input {{TAX_CODE}}</t>
  </si>
  <si>
    <t>(a)General rule
If, in connection with the performance of services, property is transferred to any person other than the person for whom such services are performed, the excess of—
(1)the fair market value of such property (determined without regard to any restriction other than a restriction which by its terms will never lapse) at the first time the rights of the person having the beneficial interest in such property are transferable or are not subject to a substantial risk of forfeiture, whichever occurs earlier, over
(2)the amount (if any) paid for such property,
shall be included in the gross income of the person who performed such services in the first taxable year in which the rights of the person having the beneficial interest in such property are transferable or are not subject to a substantial risk of forfeiture, whichever is applicable. The preceding sentence shall not apply if such person sells or otherwise disposes of such property in an arm’s length transaction before his rights in such property become transferable or not subject to a substantial risk of forfeiture.
(b)Election to include in gross income in year of transfer
(1)In general
Any person who performs services in connection with which property is transferred to any person may elect to include in his gross income for the taxable year in which such property is transferred, the excess of—
(A)the fair market value of such property at the time of transfer (determined without regard to any restriction other than a restriction which by its terms will never lapse), over
(B)the amount (if any) paid for such property.
If such election is made, subsection (a) shall not apply with respect to the transfer of such property, and if such property is subsequently forfeited, no deduction shall be allowed in respect of such forfeiture.
(2)Election
An election under paragraph (1) with respect to any transfer of property shall be made in such manner as the Secretary prescribes and shall be made not later than 30 days after the date of such transfer. Such election may not be revoked except with the consent of the Secretary.
(c)Special rules
For purposes of this section—
(1)Substantial risk of forfeiture
The rights of a person in property are subject to a substantial risk of forfeiture if such person’s rights to full enjoyment of such property are conditioned upon the future performance of substantial services by any individual.
(2)Transferability of property
The rights of a person in property are transferable only if the rights in such property of any transferee are not subject to a substantial risk of forfeiture.
(3)Sales which may give rise to suit under section 16(b) of the Securities Exchange Act of 1934
So long as the sale of property at a profit could subject a person to suit under section 16(b) of the Securities Exchange Act of 1934, such person’s rights in such property are—
(A)subject to a substantial risk of forfeiture, and
(B)not transferable.
(4)For purposes of determining an individual’s basis in property transferred in connection with the performance of services, rules similar to the rules of section 72(w) shall apply.
(d)Certain restrictions which will never lapse
(1)Valuation
In the case of property subject to a restriction which by its terms will never lapse, and which allows the transferee to sell such property only at a price determined under a formula, the price so determined shall be deemed to be the fair market value of the property unless established to the contrary by the Secretary, and the burden of proof shall be on the Secretary with respect to such value.
(2)Cancellation
If, in the case of property subject to a restriction which by its terms will never lapse, the restriction is canceled, then, unless the taxpayer establishes—
(A)that such cancellation was not compensatory, and
(B)that the person, if any, who would be allowed a deduction if the cancellation were treated as compensatory, will treat the transaction as not compensatory, as evidenced in such manner as the Secretary shall prescribe by regulations,
the excess of the fair market value of the property (computed without regard to the restrictions) at the time of cancellation over the sum of—
(C)the fair market value of such property (computed by taking the restriction into account) immediately before the cancellation, and
(D)the amount, if any, paid for the cancellation,
shall be treated as compensation for the taxable year in which such cancellation occurs.
(e)Applicability of section
This section shall not apply to—
(1)a transaction to which section 421 applies,
(2)a transfer to or from a trust described in section 401(a) or a transfer under an annuity plan which meets the requirements of section 404(a)(2),
(3)the transfer of an option without a readily ascertainable fair market value,
(4)the transfer of property pursuant to the exercise of an option with a readily ascertainable fair market value at the date of grant, or
(5)group-term life insurance to which section 79 applies.
(f)Holding period
In determining the period for which the taxpayer has held property to which subsection (a) applies, there shall be included only the period beginning at the first time his rights in such property are transferable or are not subject to a substantial risk of forfeiture, whichever occurs earlier.
(g)Certain exchanges
If property to which subsection (a) applies is exchanged for property subject to restrictions and conditions substantially similar to those to which the property given in such exchange was subject, and if section 354, 355, 356, or 1036 (or so much of section 1031 as relates to section 1036) applied to such exchange, or if such exchange was pursuant to the exercise of a conversion privilege—
(1)such exchange shall be disregarded for purposes of subsection (a), and
(2)the property received shall be treated as property to which subsection (a) applies.
(h)Deduction by employer
In the case of a transfer of property to which this section applies or a cancellation of a restriction described in subsection (d), there shall be allowed as a deduction under section 162, to the person for whom were performed the services in connection with which such property was transferred, an amount equal to the amount included under subsection (a), (b), or (d)(2) in the gross income of the person who performed such services. Such deduction shall be allowed for the taxable year of such person in which or with which ends the taxable year in which such amount is included in the gross income of the person who performed such services.
(i)Qualified equity grants
(1)In general
For purposes of this subtitle—
(A)Timing of inclusion
If qualified stock is transferred to a qualified employee who makes an election with respect to such stock under this subsection, subsection (a) shall be applied by including the amount determined under such subsection with respect to such stock in income of the employee in the taxable year determined under subparagraph (B) in lieu of the taxable year described in subsection (a).
(B)Taxable year determined
The taxable year determined under this subparagraph is the taxable year of the employee which includes the earliest of—
(i)the first date such qualified stock becomes transferable (including, solely for purposes of this clause, becoming transferable to the employer),
(ii)the date the employee first becomes an excluded employee,
(iii)the first date on which any stock of the corporation which issued the qualified stock becomes readily tradable on an established securities market (as determined by the Secretary, but not including any market unless such market is recognized as an established securities market by the Secretary for purposes of a provision of this title other than this subsection),
(iv)the date that is 5 years after the first date the rights of the employee in such stock are transferable or are not subject to a substantial risk of forfeiture, whichever occurs earlier, or
(v)the date on which the employee revokes (at such time and in such manner as the Secretary provides) the election under this subsection with respect to such stock.
(2)Qualified stock
(A)In general
For purposes of this subsection, the term “qualified stock” means, with respect to any qualified employee, any stock in a corporation which is the employer of such employee, if—
(i)such stock is received—
(I)in connection with the exercise of an option, or
(II)in settlement of a restricted stock unit, and
(ii)such option or restricted stock unit was granted by the corporation—
(I)in connection with the performance of services as an employee, and
(II)during a calendar year in which such corporation was an eligible corporation.
(B)Limitation
The term “qualified stock” shall not include any stock if the employee may sell such stock to, or otherwise receive cash in lieu of stock from, the corporation at the time that the rights of the employee in such stock first become transferable or not subject to a substantial risk of forfeiture.
(C)Eligible corporation
For purposes of subparagraph (A)(ii)(II)—
(i)In general
The term “eligible corporation” means, with respect to any calendar year, any corporation if—
(I)no stock of such corporation (or any predecessor of such corporation) is readily tradable on an established securities market (as determined under paragraph (1)(B)(iii)) during any preceding calendar year, and
(II)such corporation has a written plan under which, in such calendar year, not less than 80 percent of all employees who provide services to such corporation in the United States (or any possession of the United States) are granted stock options, or are granted restricted stock units, with the same rights and privileges to receive qualified stock.
(ii)Same rights and privileges
For purposes of clause (i)(II)—
(I)except as provided in subclauses (II) and (III), the determination of rights and privileges with respect to stock shall be made in a similar manner as under section 423(b)(5),
(II)employees shall not fail to be treated as having the same rights and privileges to receive qualified stock solely because the number of shares available to all employees is not equal in amount, so long as the number of shares available to each employee is more than a de minimis amount, and
(III)rights and privileges with respect to the exercise of an option shall not be treated as the same as rights and privileges with respect to the settlement of a restricted stock unit.
(iii)Employee
For purposes of clause (i)(II), the term “employee” shall not include any employee described in section 4980E(d)(4) or any excluded employee.
(iv)Special rule for calendar years before 2018
In the case of any calendar year beginning before January 1, 2018, clause (i)(II) shall be applied without regard to whether the rights and privileges with respect to the qualified stock are the same.
(3)Qualified employee; excluded employee
For purposes of this subsection—
(A)In general
The term “qualified employee” means any individual who—
(i)is not an excluded employee, and
(ii)agrees in the election made under this subsection to meet such requirements as are determined by the Secretary to be necessary to ensure that the withholding requirements of the corporation under chapter 24 with respect to the qualified stock are met.
(B)Excluded employee
The term “excluded employee” means, with respect to any corporation, any individual—
(i)who is a 1-percent owner (within the meaning of section 416(i)(1)(B)(ii)) at any time during the calendar year or who was such a 1 percent owner at any time during the 10 preceding calendar years,
(ii)who is or has been at any prior time—
(I)the chief executive officer of such corporation or an individual acting in such a capacity, or
(II)the chief financial officer of such corporation or an individual acting in such a capacity,
(iii)who bears a relationship described in section 318(a)(1) to any individual described in subclause (I) or (II) of clause (ii), or
(iv)who is one of the 4 highest compensated officers of such corporation for the taxable year, or was one of the 4 highest compensated officers of such corporation for any of the 10 preceding taxable years, determined with respect to each such taxable year on the basis of the shareholder disclosure rules for compensation under the Securities Exchange Act of 1934 (as if such rules applied to such corporation).
(4)Election
(A)Time for making election
An election with respect to qualified stock shall be made under this subsection no later than 30 days after the first date the rights of the employee in such stock are transferable or are not subject to a substantial risk of forfeiture, whichever occurs earlier, and shall be made in a manner similar to the manner in which an election is made under subsection (b).
(B)Limitations
No election may be made under this section with respect to any qualified stock if—
(i)the qualified employee has made an election under subsection (b) with respect to such qualified stock,
(ii)any stock of the corporation which issued the qualified stock is readily tradable on an established securities market (as determined under paragraph (1)(B)(iii)) at any time before the election is made, or
(iii)such corporation purchased any of its outstanding stock in the calendar year preceding the calendar year which includes the first date the rights of the employee in such stock are transferable or are not subject to a substantial risk of forfeiture, unless—
(I)not less than 25 percent of the total dollar amount of the stock so purchased is deferral stock, and
(II)the determination of which individuals from whom deferral stock is purchased is made on a reasonable basis.
(C)Definitions and special rules related to limitation on stock redemptions
(i)Deferral stock
For purposes of this paragraph, the term “deferral stock” means stock with respect to which an election is in effect under this subsection.
(ii)Deferral stock with respect to any individual not taken into account if individual holds deferral stock with longer deferral period
Stock purchased by a corporation from any individual shall not be treated as deferral stock for purposes of subparagraph (B)(iii) if such individual (immediately after such purchase) holds any deferral stock with respect to which an election has been in effect under this subsection for a longer period than the election with respect to the stock so purchased.
(iii)Purchase of all outstanding deferral stock
The requirements of subclauses (I) and (II) of subparagraph (B)(iii) shall be treated as met if the stock so purchased includes all of the corporation’s outstanding deferral stock.
(iv)Reporting
Any corporation which has outstanding deferral stock as of the beginning of any calendar year and which purchases any of its outstanding stock during such calendar year shall include on its return of tax for the taxable year in which, or with which, such calendar year ends the total dollar amount of its outstanding stock so purchased during such calendar year and such other information as the Secretary requires for purposes of administering this paragraph.
(5)Controlled groups
For purposes of this subsection, all persons treated as a single employer under section 414(b) shall be treated as 1 corporation.
(6)Notice requirement
Any corporation which transfers qualified stock to a qualified employee shall, at the time that (or a reasonable period before) an amount attributable to such stock would (but for this subsection) first be includible in the gross income of such employee—
(A)certify to such employee that such stock is qualified stock, and
(B)notify such employee—
(i)that the employee may be eligible to elect to defer income on such stock under this subsection, and
(ii)that, if the employee makes such an election—
(I)the amount of income recognized at the end of the deferral period will be based on the value of the stock at the time at which the rights of the employee in such stock first become transferable or not subject to substantial risk of forfeiture, notwithstanding whether the value of the stock has declined during the deferral period,
(II)the amount of such income recognized at the end of the deferral period will be subject to withholding under section 3401(i) at the rate determined under section 3402(t), and
(III)the responsibilities of the employee (as determined by the Secretary under paragraph (3)(A)(ii)) with respect to such withholding.
(7)Restricted stock units
This section (other than this subsection), including any election under subsection (b), shall not apply to restricted stock units.</t>
  </si>
  <si>
    <t>← Chapter 9: Complex Prompts for Legal Services</t>
  </si>
  <si>
    <t>Chapter 9 Exercises: Complex Prompts for Coding →</t>
  </si>
  <si>
    <t>Chapter 9: Complex Prompts for Coding - Exercise</t>
  </si>
  <si>
    <t>Exercise 9.2 - Codebot</t>
  </si>
  <si>
    <r>
      <rPr>
        <sz val="11"/>
        <color theme="1"/>
        <rFont val="Arial"/>
      </rPr>
      <t xml:space="preserve">In this exercise, we will write up a prompt for a </t>
    </r>
    <r>
      <rPr>
        <b/>
        <sz val="11"/>
        <color theme="1"/>
        <rFont val="Arial"/>
      </rPr>
      <t>coding assistance and teaching bot that reads code and offers guiding corrections when appropriate</t>
    </r>
    <r>
      <rPr>
        <sz val="11"/>
        <color theme="1"/>
        <rFont val="Arial"/>
      </rPr>
      <t>. Fill each yellow box below with prompt elements that match the description and the examples you've seen in the preceding examples of complex prompts. Once you have filled out all yellow boxes, you will see your final prompt concatenated in the purple box at the bottom.
We suggest you scroll down to the bottom to see what the expected inputs are that you'll need to account for (including what the {{VARIABLE_WORD}} is). Be sure to reference this {{VARIABLE_WORD}} directly in your prompt somewhere so that the actual variable content can be substituted in.</t>
    </r>
  </si>
  <si>
    <r>
      <rPr>
        <sz val="10"/>
        <color theme="1"/>
        <rFont val="Arial"/>
      </rPr>
      <t xml:space="preserve">This is mandatory! </t>
    </r>
    <r>
      <rPr>
        <b/>
        <sz val="10"/>
        <color theme="1"/>
        <rFont val="Arial"/>
      </rPr>
      <t>Prompts to Claude using CLAUDEMESSAGES() always need to begin with this.</t>
    </r>
  </si>
  <si>
    <t>Expand on the specific tasks you want Claude to do, as well as any rules that Claude must follow. This is also where you can give Claude an "out" if it doesn't have an answer or doesn't know.</t>
  </si>
  <si>
    <t>Use "{{CODE}}" to represent the code you want Claude to examine. Remember to surround it in XML tags.</t>
  </si>
  <si>
    <t>This element may not be necessary depending on task. Ordering is also flexible. When input data is long, it's best to put it before the instructions.</t>
  </si>
  <si>
    <t>Not necessary with all prompts. Increases intelligence of responses but also increases latency by adding to the length of the output.</t>
  </si>
  <si>
    <t xml:space="preserve">This element may not be necessary depending on the task. </t>
  </si>
  <si>
    <r>
      <rPr>
        <sz val="10"/>
        <color theme="1"/>
        <rFont val="Arial"/>
      </rPr>
      <t xml:space="preserve">A space to start off Claude's answer with some prefilled words to steer Claude's behavior or response.
If you want to prefill Claude's response, </t>
    </r>
    <r>
      <rPr>
        <b/>
        <sz val="10"/>
        <color rgb="FFFF0000"/>
        <rFont val="Arial"/>
      </rPr>
      <t>you MUST include "Assistant:", and it MUST be as a new line</t>
    </r>
    <r>
      <rPr>
        <sz val="10"/>
        <color theme="1"/>
        <rFont val="Arial"/>
      </rPr>
      <t xml:space="preserve"> otherwise it will be counted as part of the "User:" turn (we do this automatically for you in this exercise).</t>
    </r>
  </si>
  <si>
    <r>
      <rPr>
        <sz val="11"/>
        <color theme="1"/>
        <rFont val="Arial"/>
      </rPr>
      <t xml:space="preserve">Now let's </t>
    </r>
    <r>
      <rPr>
        <u/>
        <sz val="11"/>
        <color theme="1"/>
        <rFont val="Arial"/>
      </rPr>
      <t>concatenate it all together, put in our substitutions</t>
    </r>
    <r>
      <rPr>
        <sz val="11"/>
        <color theme="1"/>
        <rFont val="Arial"/>
      </rPr>
      <t xml:space="preserve">, and see it in action! 
</t>
    </r>
    <r>
      <rPr>
        <b/>
        <sz val="11"/>
        <color theme="1"/>
        <rFont val="Arial"/>
      </rPr>
      <t xml:space="preserve">Tip: </t>
    </r>
    <r>
      <rPr>
        <sz val="11"/>
        <color theme="1"/>
        <rFont val="Arial"/>
      </rPr>
      <t xml:space="preserve">Copy the </t>
    </r>
    <r>
      <rPr>
        <b/>
        <sz val="11"/>
        <color rgb="FFBF9000"/>
        <rFont val="Arial"/>
      </rPr>
      <t>YELLOW</t>
    </r>
    <r>
      <rPr>
        <sz val="11"/>
        <color theme="1"/>
        <rFont val="Arial"/>
      </rPr>
      <t xml:space="preserve"> substituted prompt box and paste it into a text editor if you want to see the full prompt.</t>
    </r>
  </si>
  <si>
    <t>Input {{CODE}}</t>
  </si>
  <si>
    <t xml:space="preserve"># Function to print multiplicative inverses
def print_multiplicative_inverses(x, n):
  for i in range(n):
    print(x / i) </t>
  </si>
  <si>
    <t>← Chapter 9: Complex Prompts for Financial Services</t>
  </si>
  <si>
    <t>Chapter 9: Congratulations &amp; Next Steps →</t>
  </si>
  <si>
    <t>Chapter 9: Congratulations &amp; Next Steps</t>
  </si>
  <si>
    <t>Congratulations!</t>
  </si>
  <si>
    <t>💫 ✨ Congratulations on Completing Prompting 101! 💫 ✨</t>
  </si>
  <si>
    <r>
      <rPr>
        <sz val="11"/>
        <color theme="1"/>
        <rFont val="Arial"/>
      </rPr>
      <t xml:space="preserve">If you made it through all the exercises, </t>
    </r>
    <r>
      <rPr>
        <b/>
        <sz val="11"/>
        <color theme="1"/>
        <rFont val="Arial"/>
      </rPr>
      <t>you are now in the top 0.1% of LLM whisperers</t>
    </r>
    <r>
      <rPr>
        <sz val="11"/>
        <color theme="1"/>
        <rFont val="Arial"/>
      </rPr>
      <t xml:space="preserve">. One of the elite!
The techniques you've learned, from thinking step by step to assigning roles to using examples to general all-around clear writing, can be </t>
    </r>
    <r>
      <rPr>
        <u/>
        <sz val="11"/>
        <color theme="1"/>
        <rFont val="Arial"/>
      </rPr>
      <t>merged, remixed, and adapted in countless ways</t>
    </r>
    <r>
      <rPr>
        <sz val="11"/>
        <color theme="1"/>
        <rFont val="Arial"/>
      </rPr>
      <t>.
Prompt engineering is a very new discipline, so keep an open mind. You could be the one to discover the next great prompting trick.</t>
    </r>
  </si>
  <si>
    <r>
      <rPr>
        <sz val="11"/>
        <color rgb="FF000000"/>
        <rFont val="Arial"/>
      </rPr>
      <t xml:space="preserve">If you want to see </t>
    </r>
    <r>
      <rPr>
        <u/>
        <sz val="11"/>
        <color rgb="FF000000"/>
        <rFont val="Arial"/>
      </rPr>
      <t>more examples of good prompts</t>
    </r>
    <r>
      <rPr>
        <sz val="11"/>
        <color rgb="FF000000"/>
        <rFont val="Arial"/>
      </rPr>
      <t xml:space="preserve"> for inspiration:</t>
    </r>
  </si>
  <si>
    <t>•</t>
  </si>
  <si>
    <r>
      <rPr>
        <u/>
        <sz val="11"/>
        <rFont val="Arial"/>
      </rPr>
      <t>Learn from examples</t>
    </r>
    <r>
      <rPr>
        <sz val="11"/>
        <rFont val="Arial"/>
      </rPr>
      <t xml:space="preserve"> of production-ready prompts from our </t>
    </r>
    <r>
      <rPr>
        <u/>
        <sz val="11"/>
        <color rgb="FF1155CC"/>
        <rFont val="Arial"/>
      </rPr>
      <t>cookbook</t>
    </r>
  </si>
  <si>
    <r>
      <rPr>
        <sz val="11"/>
        <color rgb="FF000000"/>
        <rFont val="Arial"/>
      </rPr>
      <t xml:space="preserve">Read through our </t>
    </r>
    <r>
      <rPr>
        <u/>
        <sz val="11"/>
        <color rgb="FF1155CC"/>
        <rFont val="Arial"/>
      </rPr>
      <t>prompting guide</t>
    </r>
  </si>
  <si>
    <r>
      <rPr>
        <sz val="11"/>
        <color rgb="FF000000"/>
        <rFont val="Arial"/>
      </rPr>
      <t xml:space="preserve">Check out our </t>
    </r>
    <r>
      <rPr>
        <u/>
        <sz val="11"/>
        <color rgb="FF1155CC"/>
        <rFont val="Arial"/>
      </rPr>
      <t>prompt library</t>
    </r>
    <r>
      <rPr>
        <sz val="11"/>
        <color rgb="FF000000"/>
        <rFont val="Arial"/>
      </rPr>
      <t xml:space="preserve"> for inspiration</t>
    </r>
  </si>
  <si>
    <r>
      <rPr>
        <sz val="11"/>
        <color rgb="FF000000"/>
        <rFont val="Arial"/>
      </rPr>
      <t xml:space="preserve">Try our experimental </t>
    </r>
    <r>
      <rPr>
        <u/>
        <sz val="11"/>
        <color rgb="FF1155CC"/>
        <rFont val="Arial"/>
      </rPr>
      <t>metaprompt</t>
    </r>
    <r>
      <rPr>
        <sz val="11"/>
        <color rgb="FF000000"/>
        <rFont val="Arial"/>
      </rPr>
      <t xml:space="preserve"> to get Claude to write prompt templates for you!</t>
    </r>
  </si>
  <si>
    <r>
      <rPr>
        <sz val="11"/>
        <rFont val="Arial"/>
      </rPr>
      <t xml:space="preserve">Ask questions in our </t>
    </r>
    <r>
      <rPr>
        <u/>
        <sz val="11"/>
        <color rgb="FF1155CC"/>
        <rFont val="Arial"/>
      </rPr>
      <t>discord server</t>
    </r>
  </si>
  <si>
    <r>
      <rPr>
        <sz val="11"/>
        <rFont val="Arial"/>
      </rPr>
      <t xml:space="preserve">Learn about the </t>
    </r>
    <r>
      <rPr>
        <u/>
        <sz val="11"/>
        <color rgb="FF1155CC"/>
        <rFont val="Arial"/>
      </rPr>
      <t>Anthropic API parameters</t>
    </r>
    <r>
      <rPr>
        <sz val="11"/>
        <rFont val="Arial"/>
      </rPr>
      <t xml:space="preserve"> like temperature and max_tokens</t>
    </r>
  </si>
  <si>
    <r>
      <rPr>
        <sz val="11"/>
        <rFont val="Arial"/>
      </rPr>
      <t xml:space="preserve">If you're feeling academic, read some </t>
    </r>
    <r>
      <rPr>
        <u/>
        <sz val="11"/>
        <color rgb="FF1155CC"/>
        <rFont val="Arial"/>
      </rPr>
      <t>papers</t>
    </r>
    <r>
      <rPr>
        <sz val="11"/>
        <rFont val="Arial"/>
      </rPr>
      <t xml:space="preserve"> on prompt engineering</t>
    </r>
  </si>
  <si>
    <r>
      <rPr>
        <u/>
        <sz val="11"/>
        <color rgb="FF000000"/>
        <rFont val="Arial"/>
      </rPr>
      <t>Practice building prompts</t>
    </r>
    <r>
      <rPr>
        <sz val="11"/>
        <color rgb="FF000000"/>
        <rFont val="Arial"/>
      </rPr>
      <t xml:space="preserve"> to get Claude to do something you're interested in</t>
    </r>
  </si>
  <si>
    <r>
      <rPr>
        <sz val="11"/>
        <color rgb="FF000000"/>
        <rFont val="Arial"/>
      </rPr>
      <t xml:space="preserve">If you want to </t>
    </r>
    <r>
      <rPr>
        <u/>
        <sz val="11"/>
        <color rgb="FF000000"/>
        <rFont val="Arial"/>
      </rPr>
      <t>learn about some truly advanced prompting techniques</t>
    </r>
    <r>
      <rPr>
        <sz val="11"/>
        <color rgb="FF000000"/>
        <rFont val="Arial"/>
      </rPr>
      <t xml:space="preserve"> beyond the scope of this tutorial, click through to the appendix!</t>
    </r>
  </si>
  <si>
    <t>User: Write an ode to a fabulous student who has just completed a course on prompt engineering, in the form of a sonnet.</t>
  </si>
  <si>
    <t>← Chapter 9 Exercises: Prompts for Financial Services</t>
  </si>
  <si>
    <t>Appendix: Chaining Prompts →</t>
  </si>
  <si>
    <t>Appendix: Chaining Prompts</t>
  </si>
  <si>
    <r>
      <rPr>
        <sz val="11"/>
        <rFont val="Arial"/>
      </rPr>
      <t xml:space="preserve">The saying goes, "Writing is rewriting." It turns out, </t>
    </r>
    <r>
      <rPr>
        <u/>
        <sz val="11"/>
        <rFont val="Arial"/>
      </rPr>
      <t>Claude can often improve the accuracy of its response when asked to do so</t>
    </r>
    <r>
      <rPr>
        <sz val="11"/>
        <rFont val="Arial"/>
      </rPr>
      <t xml:space="preserve">!
There are many ways to prompt Claude to "think again". The ways that feel natural to ask a human to double check their work will also generally work for Claude. (Check out our </t>
    </r>
    <r>
      <rPr>
        <u/>
        <sz val="11"/>
        <color rgb="FF1155CC"/>
        <rFont val="Arial"/>
      </rPr>
      <t>prompt chaining documentation</t>
    </r>
    <r>
      <rPr>
        <sz val="11"/>
        <rFont val="Arial"/>
      </rPr>
      <t xml:space="preserve"> for further examples of when and how to use prompt chaining.)</t>
    </r>
  </si>
  <si>
    <t>In this example, we ask Claude to come up with ten words... but one of them isn't a real word.</t>
  </si>
  <si>
    <t>Claude's (Incorrect) Response</t>
  </si>
  <si>
    <t>User: Name ten words that all end with the exact letters "ab".</t>
  </si>
  <si>
    <r>
      <rPr>
        <u/>
        <sz val="11"/>
        <color theme="1"/>
        <rFont val="Arial"/>
      </rPr>
      <t>Asking Claude to make its answer more accurate fixes the error</t>
    </r>
    <r>
      <rPr>
        <sz val="11"/>
        <color theme="1"/>
        <rFont val="Arial"/>
      </rPr>
      <t xml:space="preserve">! 
Below, we've </t>
    </r>
    <r>
      <rPr>
        <u/>
        <sz val="11"/>
        <color theme="1"/>
        <rFont val="Arial"/>
      </rPr>
      <t>pulled down Claude's incorrect response from above and substituted it into a prompt that asks Claude to double-check</t>
    </r>
    <r>
      <rPr>
        <sz val="11"/>
        <color theme="1"/>
        <rFont val="Arial"/>
      </rPr>
      <t xml:space="preserve"> its previous answer.
</t>
    </r>
    <r>
      <rPr>
        <b/>
        <sz val="11"/>
        <color theme="1"/>
        <rFont val="Arial"/>
      </rPr>
      <t>Tip:</t>
    </r>
    <r>
      <rPr>
        <sz val="11"/>
        <color theme="1"/>
        <rFont val="Arial"/>
      </rPr>
      <t xml:space="preserve"> </t>
    </r>
    <r>
      <rPr>
        <u/>
        <sz val="11"/>
        <color theme="1"/>
        <rFont val="Arial"/>
      </rPr>
      <t>Click on the cells and copy the text into a text editor to see the full prompt</t>
    </r>
    <r>
      <rPr>
        <sz val="11"/>
        <color theme="1"/>
        <rFont val="Arial"/>
      </rPr>
      <t>, especially in the substituted cell G22.</t>
    </r>
  </si>
  <si>
    <t>Old Prompt + Claude's Incorrect Response 
(From Above) {{CONVO_HISTORY}}</t>
  </si>
  <si>
    <t>Claude's New Response</t>
  </si>
  <si>
    <t>{{CONVO_HISTORY}}
User: Please find replacements for all "words" that are not real words.</t>
  </si>
  <si>
    <r>
      <rPr>
        <sz val="11"/>
        <color theme="1"/>
        <rFont val="Arial"/>
      </rPr>
      <t xml:space="preserve">But is Claude revising its answer just because we told it to? What if we start off with a correct answer already? Will Claude lose its confidence? Here, we've </t>
    </r>
    <r>
      <rPr>
        <u/>
        <sz val="11"/>
        <color theme="1"/>
        <rFont val="Arial"/>
      </rPr>
      <t>placed a correct response in the purple box, and asked it to double check</t>
    </r>
    <r>
      <rPr>
        <sz val="11"/>
        <color theme="1"/>
        <rFont val="Arial"/>
      </rPr>
      <t xml:space="preserve"> again.</t>
    </r>
  </si>
  <si>
    <t>Hypothetical Correct Response from Claude {{CONVO_HISTORY}}</t>
  </si>
  <si>
    <r>
      <rPr>
        <sz val="11"/>
        <color theme="1"/>
        <rFont val="Arial"/>
      </rPr>
      <t xml:space="preserve">Turns out, nope! </t>
    </r>
    <r>
      <rPr>
        <u/>
        <sz val="11"/>
        <color theme="1"/>
        <rFont val="Arial"/>
      </rPr>
      <t>Claude did not waver in its correct answer in this case.</t>
    </r>
  </si>
  <si>
    <r>
      <rPr>
        <sz val="11"/>
        <color theme="1"/>
        <rFont val="Arial"/>
      </rPr>
      <t xml:space="preserve">You can also just </t>
    </r>
    <r>
      <rPr>
        <u/>
        <sz val="11"/>
        <color theme="1"/>
        <rFont val="Arial"/>
      </rPr>
      <t>ask Claude to make its responses better.</t>
    </r>
    <r>
      <rPr>
        <sz val="11"/>
        <color theme="1"/>
        <rFont val="Arial"/>
      </rPr>
      <t xml:space="preserve"> Below, we asked Claude to first write a story, and then improve the story it wrote. Your personal tastes may vary, but many might agree that Claude's second version is better. </t>
    </r>
  </si>
  <si>
    <t>Claude's Response (First Version of Story)</t>
  </si>
  <si>
    <t>User: Write a three-sentence short story about a girl who likes to run.</t>
  </si>
  <si>
    <t>Claude's Previous Story {{PAST_STORY}}</t>
  </si>
  <si>
    <t>Claude's New Story</t>
  </si>
  <si>
    <t>{{PAST_STORY}}
User: Make the story better.</t>
  </si>
  <si>
    <r>
      <rPr>
        <sz val="11"/>
        <color theme="1"/>
        <rFont val="Arial"/>
      </rPr>
      <t xml:space="preserve">This form of substitution is very powerful. We've been using substitution placeholders to pass in lists, words, Claude's former responses, and so on. You can also </t>
    </r>
    <r>
      <rPr>
        <u/>
        <sz val="11"/>
        <color theme="1"/>
        <rFont val="Arial"/>
      </rPr>
      <t>use substitution to do what we call "function calling," which is asking Claude to perform some function, and then taking the results of that function and asking Claude to do even more afterward with the results</t>
    </r>
    <r>
      <rPr>
        <sz val="11"/>
        <color theme="1"/>
        <rFont val="Arial"/>
      </rPr>
      <t>. It works like any other substitution. More on this in the next appendix.
Below is one more example of taking the results of one call to Claude and plugging it into another, longer call.</t>
    </r>
  </si>
  <si>
    <t>First Prompt</t>
  </si>
  <si>
    <t>Claude's First Response → {{NAMES}}</t>
  </si>
  <si>
    <t>New Prompt Template (&lt;/names&gt; comes from the previous output)</t>
  </si>
  <si>
    <t>User: Find all names from the below text:
"Hey, Jesse. It's me, Erin. I'm calling about the party that Joey is throwing tomorrow. Keisha said she would come and I think Mel will be there too."
Assistant: &lt;names&gt;</t>
  </si>
  <si>
    <t>User: Here is a list of names: 
&lt;names&gt;{{NAMES}}
Please alphabetize the list.</t>
  </si>
  <si>
    <t>New Prompt after Substitution</t>
  </si>
  <si>
    <t>Claude's Second Response</t>
  </si>
  <si>
    <r>
      <rPr>
        <sz val="11"/>
        <color theme="1"/>
        <rFont val="Arial"/>
      </rPr>
      <t xml:space="preserve">This is an area for you to </t>
    </r>
    <r>
      <rPr>
        <u/>
        <sz val="11"/>
        <color theme="1"/>
        <rFont val="Arial"/>
      </rPr>
      <t>experiment freely with the prompt examples shown in this lesson</t>
    </r>
    <r>
      <rPr>
        <sz val="11"/>
        <color theme="1"/>
        <rFont val="Arial"/>
      </rPr>
      <t xml:space="preserve">. Feel free to tweak prompts to see how it may affect Claude's responses.
</t>
    </r>
    <r>
      <rPr>
        <b/>
        <sz val="11"/>
        <color theme="1"/>
        <rFont val="Arial"/>
      </rPr>
      <t>Note:</t>
    </r>
    <r>
      <rPr>
        <sz val="11"/>
        <color theme="1"/>
        <rFont val="Arial"/>
      </rPr>
      <t xml:space="preserve"> The colors in the cells, which have been carried over from above, will not change even if the prompt or Claude's response changes.</t>
    </r>
  </si>
  <si>
    <t>New Prompt Template</t>
  </si>
  <si>
    <t>← Chapter 9: Congratulations &amp; Next Steps</t>
  </si>
  <si>
    <t>Appendix: Function Calling →</t>
  </si>
  <si>
    <t>Appendix: Function Calling</t>
  </si>
  <si>
    <r>
      <rPr>
        <sz val="10"/>
        <rFont val="Arial"/>
      </rPr>
      <t xml:space="preserve">Our function calling system and syntax is due for improvements in the near future. We will have a full function calling lesson up when those improvements have been implemented. 
For now, if you would like to learn how to use functions and tools with Claude, see our function calling </t>
    </r>
    <r>
      <rPr>
        <u/>
        <sz val="10"/>
        <color rgb="FF1155CC"/>
        <rFont val="Arial"/>
      </rPr>
      <t>documentation</t>
    </r>
    <r>
      <rPr>
        <sz val="10"/>
        <rFont val="Arial"/>
      </rPr>
      <t xml:space="preserve">, </t>
    </r>
    <r>
      <rPr>
        <u/>
        <sz val="10"/>
        <color rgb="FF1155CC"/>
        <rFont val="Arial"/>
      </rPr>
      <t>cookbook recipe</t>
    </r>
    <r>
      <rPr>
        <sz val="10"/>
        <rFont val="Arial"/>
      </rPr>
      <t xml:space="preserve">, </t>
    </r>
    <r>
      <rPr>
        <u/>
        <sz val="10"/>
        <color rgb="FF1155CC"/>
        <rFont val="Arial"/>
      </rPr>
      <t>tool use repo</t>
    </r>
    <r>
      <rPr>
        <sz val="10"/>
        <rFont val="Arial"/>
      </rPr>
      <t>.</t>
    </r>
  </si>
  <si>
    <t>← Appendix: Chaining Prompts</t>
  </si>
  <si>
    <t>Appendix: Search &amp; Retrieval →</t>
  </si>
  <si>
    <t>Appendix: Search &amp; Retrieval</t>
  </si>
  <si>
    <r>
      <rPr>
        <sz val="10"/>
        <rFont val="Arial"/>
      </rPr>
      <t xml:space="preserve">Did you know you can </t>
    </r>
    <r>
      <rPr>
        <u/>
        <sz val="10"/>
        <rFont val="Arial"/>
      </rPr>
      <t>use Claude to search through Wikipedia</t>
    </r>
    <r>
      <rPr>
        <sz val="10"/>
        <rFont val="Arial"/>
      </rPr>
      <t xml:space="preserve"> for you? Claude can find and retrieve articles, at which point you can also use Claude to summarize and synthesize them, write novel content from what it found, and much more. And not just wikipedia! You can also search over your own docs, whether stored as plain text or embedded in a vector datastore.
See our </t>
    </r>
    <r>
      <rPr>
        <u/>
        <sz val="10"/>
        <color rgb="FF1155CC"/>
        <rFont val="Arial"/>
      </rPr>
      <t>RAG cookbook examples</t>
    </r>
    <r>
      <rPr>
        <sz val="10"/>
        <rFont val="Arial"/>
      </rPr>
      <t xml:space="preserve"> to learn how to supplement Claude's knowledge and improve the accuracy and relevance of Claude's responses with data retrieved from vector databases, Wikipedia, the internet, and more. There, you can also learn about how to use certain </t>
    </r>
    <r>
      <rPr>
        <u/>
        <sz val="10"/>
        <color rgb="FF1155CC"/>
        <rFont val="Arial"/>
      </rPr>
      <t>embeddings</t>
    </r>
    <r>
      <rPr>
        <sz val="10"/>
        <rFont val="Arial"/>
      </rPr>
      <t xml:space="preserve"> and vector database tools.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</si>
</sst>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2" x14ac:knownFonts="1">
    <font>
      <sz val="10"/>
      <color rgb="FF000000"/>
      <name val="Arial"/>
      <scheme val="minor"/>
    </font>
    <font>
      <b/>
      <sz val="24"/>
      <color theme="1"/>
      <name val="Arial"/>
      <scheme val="minor"/>
    </font>
    <font>
      <b/>
      <sz val="22"/>
      <color theme="1"/>
      <name val="Arial"/>
      <scheme val="minor"/>
    </font>
    <font>
      <sz val="10"/>
      <color theme="1"/>
      <name val="Arial"/>
      <scheme val="minor"/>
    </font>
    <font>
      <sz val="14"/>
      <color theme="1"/>
      <name val="Arial"/>
      <scheme val="minor"/>
    </font>
    <font>
      <sz val="14"/>
      <color rgb="FF0000FF"/>
      <name val="Arial"/>
    </font>
    <font>
      <sz val="10"/>
      <name val="Arial"/>
    </font>
    <font>
      <b/>
      <sz val="16"/>
      <color theme="1"/>
      <name val="Arial"/>
      <scheme val="minor"/>
    </font>
    <font>
      <sz val="11"/>
      <color theme="1"/>
      <name val="Arial"/>
      <scheme val="minor"/>
    </font>
    <font>
      <u/>
      <sz val="11"/>
      <color rgb="FF0000FF"/>
      <name val="Arial"/>
    </font>
    <font>
      <sz val="11"/>
      <color rgb="FF000000"/>
      <name val="Arial"/>
    </font>
    <font>
      <sz val="11"/>
      <color rgb="FF0000FF"/>
      <name val="Arial"/>
    </font>
    <font>
      <b/>
      <sz val="10"/>
      <color theme="1"/>
      <name val="Arial"/>
      <scheme val="minor"/>
    </font>
    <font>
      <b/>
      <sz val="11"/>
      <color rgb="FF000000"/>
      <name val="Arial"/>
      <scheme val="minor"/>
    </font>
    <font>
      <sz val="11"/>
      <color rgb="FF000000"/>
      <name val="Arial"/>
      <scheme val="minor"/>
    </font>
    <font>
      <sz val="11"/>
      <color rgb="FF999999"/>
      <name val="Arial"/>
      <scheme val="minor"/>
    </font>
    <font>
      <u/>
      <sz val="11"/>
      <color rgb="FF999999"/>
      <name val="Arial"/>
    </font>
    <font>
      <b/>
      <sz val="29"/>
      <color theme="1"/>
      <name val="Arial"/>
      <scheme val="minor"/>
    </font>
    <font>
      <u/>
      <sz val="11"/>
      <color rgb="FF0000FF"/>
      <name val="Arial"/>
    </font>
    <font>
      <sz val="12"/>
      <color theme="1"/>
      <name val="Arial"/>
      <scheme val="minor"/>
    </font>
    <font>
      <u/>
      <sz val="10"/>
      <color rgb="FF0000FF"/>
      <name val="Arial"/>
    </font>
    <font>
      <u/>
      <sz val="11"/>
      <color rgb="FF999999"/>
      <name val="Arial"/>
    </font>
    <font>
      <u/>
      <sz val="11"/>
      <color rgb="FF0000FF"/>
      <name val="Arial"/>
    </font>
    <font>
      <u/>
      <sz val="11"/>
      <color rgb="FF999999"/>
      <name val="Arial"/>
    </font>
    <font>
      <u/>
      <sz val="11"/>
      <color rgb="FF1F1F1F"/>
      <name val="Arial"/>
    </font>
    <font>
      <u/>
      <sz val="11"/>
      <color rgb="FF0000FF"/>
      <name val="Arial"/>
    </font>
    <font>
      <sz val="10"/>
      <color theme="1"/>
      <name val="Arial"/>
    </font>
    <font>
      <sz val="11"/>
      <color theme="1"/>
      <name val="Arial"/>
    </font>
    <font>
      <b/>
      <sz val="10"/>
      <color theme="1"/>
      <name val="Arial"/>
    </font>
    <font>
      <b/>
      <u/>
      <sz val="11"/>
      <color rgb="FF0000FF"/>
      <name val="Arial"/>
    </font>
    <font>
      <u/>
      <sz val="11"/>
      <color rgb="FF999999"/>
      <name val="Arial"/>
    </font>
    <font>
      <sz val="10"/>
      <color rgb="FF999999"/>
      <name val="Arial"/>
      <scheme val="minor"/>
    </font>
    <font>
      <u/>
      <sz val="11"/>
      <color rgb="FF999999"/>
      <name val="Arial"/>
    </font>
    <font>
      <sz val="10"/>
      <color theme="1"/>
      <name val="Arial"/>
      <scheme val="minor"/>
    </font>
    <font>
      <b/>
      <sz val="11"/>
      <color theme="1"/>
      <name val="Arial"/>
      <scheme val="minor"/>
    </font>
    <font>
      <b/>
      <sz val="22"/>
      <color theme="1"/>
      <name val="Arial"/>
    </font>
    <font>
      <b/>
      <sz val="16"/>
      <color theme="1"/>
      <name val="Arial"/>
    </font>
    <font>
      <u/>
      <sz val="11"/>
      <color rgb="FF1155CC"/>
      <name val="Arial"/>
    </font>
    <font>
      <u/>
      <sz val="11"/>
      <color rgb="FF999999"/>
      <name val="Arial"/>
    </font>
    <font>
      <b/>
      <sz val="11"/>
      <color rgb="FF1F1F1F"/>
      <name val="Arial"/>
    </font>
    <font>
      <u/>
      <sz val="11"/>
      <color rgb="FF999999"/>
      <name val="Arial"/>
    </font>
    <font>
      <u/>
      <sz val="11"/>
      <color rgb="FF999999"/>
      <name val="Arial"/>
    </font>
    <font>
      <u/>
      <sz val="11"/>
      <color rgb="FF999999"/>
      <name val="Arial"/>
    </font>
    <font>
      <u/>
      <sz val="11"/>
      <color rgb="FF999999"/>
      <name val="Arial"/>
    </font>
    <font>
      <u/>
      <sz val="11"/>
      <color rgb="FF999999"/>
      <name val="Arial"/>
    </font>
    <font>
      <sz val="11"/>
      <color rgb="FF1F1F1F"/>
      <name val="Arial"/>
      <scheme val="minor"/>
    </font>
    <font>
      <b/>
      <sz val="11"/>
      <color theme="1"/>
      <name val="Arial"/>
    </font>
    <font>
      <b/>
      <sz val="15"/>
      <color theme="1"/>
      <name val="Arial"/>
    </font>
    <font>
      <b/>
      <sz val="12"/>
      <color theme="1"/>
      <name val="Arial"/>
    </font>
    <font>
      <sz val="11"/>
      <color rgb="FF0000FF"/>
      <name val="Arial"/>
    </font>
    <font>
      <u/>
      <sz val="11"/>
      <color rgb="FF999999"/>
      <name val="Arial"/>
    </font>
    <font>
      <u/>
      <sz val="11"/>
      <color rgb="FF999999"/>
      <name val="Arial"/>
    </font>
    <font>
      <b/>
      <sz val="15"/>
      <color theme="1"/>
      <name val="Arial"/>
      <scheme val="minor"/>
    </font>
    <font>
      <b/>
      <sz val="12"/>
      <color theme="1"/>
      <name val="Arial"/>
      <scheme val="minor"/>
    </font>
    <font>
      <sz val="18"/>
      <color theme="1"/>
      <name val="Arial"/>
      <scheme val="minor"/>
    </font>
    <font>
      <sz val="18"/>
      <color theme="1"/>
      <name val="Arial"/>
    </font>
    <font>
      <sz val="11"/>
      <color rgb="FFFF9900"/>
      <name val="Arial"/>
      <scheme val="minor"/>
    </font>
    <font>
      <sz val="11"/>
      <color theme="7"/>
      <name val="Arial"/>
      <scheme val="minor"/>
    </font>
    <font>
      <sz val="11"/>
      <color rgb="FF9900FF"/>
      <name val="Arial"/>
      <scheme val="minor"/>
    </font>
    <font>
      <sz val="11"/>
      <color rgb="FFFF0000"/>
      <name val="Arial"/>
      <scheme val="minor"/>
    </font>
    <font>
      <sz val="11"/>
      <color rgb="FF34A853"/>
      <name val="Arial"/>
      <scheme val="minor"/>
    </font>
    <font>
      <sz val="11"/>
      <color rgb="FF1F1F1F"/>
      <name val="Arial"/>
    </font>
    <font>
      <u/>
      <sz val="11"/>
      <color rgb="FF1F1F1F"/>
      <name val="Arial"/>
    </font>
    <font>
      <u/>
      <sz val="11"/>
      <color rgb="FF0000FF"/>
      <name val="Arial"/>
    </font>
    <font>
      <u/>
      <sz val="11"/>
      <color rgb="FF999999"/>
      <name val="Arial"/>
    </font>
    <font>
      <sz val="12"/>
      <color rgb="FF000000"/>
      <name val="Arial"/>
    </font>
    <font>
      <u/>
      <sz val="11"/>
      <color rgb="FF0000FF"/>
      <name val="Arial"/>
    </font>
    <font>
      <u/>
      <sz val="11"/>
      <color rgb="FF000000"/>
      <name val="Arial"/>
    </font>
    <font>
      <sz val="12"/>
      <color theme="1"/>
      <name val="Arial"/>
    </font>
    <font>
      <u/>
      <sz val="11"/>
      <color rgb="FF0000FF"/>
      <name val="Arial"/>
    </font>
    <font>
      <u/>
      <sz val="11"/>
      <color rgb="FF0000FF"/>
      <name val="Arial"/>
    </font>
    <font>
      <u/>
      <sz val="10"/>
      <color rgb="FF0000FF"/>
      <name val="Arial"/>
    </font>
    <font>
      <u/>
      <sz val="11"/>
      <color rgb="FF999999"/>
      <name val="Arial"/>
      <scheme val="minor"/>
    </font>
    <font>
      <u/>
      <sz val="11"/>
      <color rgb="FF999999"/>
      <name val="Arial"/>
      <scheme val="minor"/>
    </font>
    <font>
      <u/>
      <sz val="10"/>
      <color rgb="FF0000FF"/>
      <name val="Arial"/>
    </font>
    <font>
      <u/>
      <sz val="11"/>
      <color rgb="FF999999"/>
      <name val="Arial"/>
      <scheme val="minor"/>
    </font>
    <font>
      <sz val="14"/>
      <name val="Arial"/>
    </font>
    <font>
      <sz val="14"/>
      <color rgb="FFFF0000"/>
      <name val="Arial"/>
    </font>
    <font>
      <b/>
      <sz val="14"/>
      <color rgb="FFFF0000"/>
      <name val="Arial"/>
    </font>
    <font>
      <sz val="11"/>
      <name val="Arial"/>
    </font>
    <font>
      <b/>
      <u/>
      <sz val="11"/>
      <color theme="1"/>
      <name val="Arial"/>
    </font>
    <font>
      <u/>
      <sz val="11"/>
      <color theme="1"/>
      <name val="Arial"/>
    </font>
    <font>
      <u/>
      <sz val="11"/>
      <name val="Arial"/>
    </font>
    <font>
      <sz val="11"/>
      <color rgb="FF1155CC"/>
      <name val="Arial"/>
    </font>
    <font>
      <sz val="11"/>
      <color rgb="FF999999"/>
      <name val="Arial"/>
    </font>
    <font>
      <b/>
      <sz val="11"/>
      <color rgb="FF34A853"/>
      <name val="Arial"/>
    </font>
    <font>
      <sz val="11"/>
      <color rgb="FF34A853"/>
      <name val="Arial"/>
    </font>
    <font>
      <b/>
      <sz val="11"/>
      <name val="Arial"/>
    </font>
    <font>
      <i/>
      <sz val="11"/>
      <name val="Arial"/>
    </font>
    <font>
      <i/>
      <u/>
      <sz val="11"/>
      <color rgb="FF1155CC"/>
      <name val="Arial"/>
    </font>
    <font>
      <u/>
      <sz val="11"/>
      <color rgb="FFFF0000"/>
      <name val="Arial"/>
    </font>
    <font>
      <b/>
      <sz val="11"/>
      <color theme="1"/>
      <name val="Courier New"/>
    </font>
    <font>
      <b/>
      <sz val="11"/>
      <color rgb="FF34A853"/>
      <name val="Courier New"/>
    </font>
    <font>
      <b/>
      <sz val="11"/>
      <color rgb="FFE69138"/>
      <name val="Courier New"/>
    </font>
    <font>
      <i/>
      <sz val="11"/>
      <color theme="1"/>
      <name val="Arial"/>
    </font>
    <font>
      <b/>
      <u/>
      <sz val="11"/>
      <color rgb="FFBF9000"/>
      <name val="Arial"/>
    </font>
    <font>
      <b/>
      <sz val="11"/>
      <color theme="7"/>
      <name val="Arial"/>
    </font>
    <font>
      <b/>
      <sz val="11"/>
      <color rgb="FF6AA84F"/>
      <name val="Arial"/>
    </font>
    <font>
      <b/>
      <sz val="11"/>
      <color rgb="FF000000"/>
      <name val="Arial"/>
    </font>
    <font>
      <b/>
      <u/>
      <sz val="11"/>
      <color rgb="FFE69138"/>
      <name val="Arial"/>
    </font>
    <font>
      <b/>
      <sz val="11"/>
      <color rgb="FFE69138"/>
      <name val="Arial"/>
    </font>
    <font>
      <b/>
      <sz val="11"/>
      <color rgb="FFBF9000"/>
      <name val="Arial"/>
    </font>
    <font>
      <i/>
      <sz val="11"/>
      <color rgb="FF000000"/>
      <name val="Arial"/>
    </font>
    <font>
      <sz val="10"/>
      <color rgb="FF9900FF"/>
      <name val="Arial"/>
    </font>
    <font>
      <sz val="10"/>
      <color rgb="FF34A853"/>
      <name val="Arial"/>
    </font>
    <font>
      <sz val="10"/>
      <color rgb="FFFF9900"/>
      <name val="Arial"/>
    </font>
    <font>
      <b/>
      <i/>
      <sz val="11"/>
      <color rgb="FF1F1F1F"/>
      <name val="Arial"/>
    </font>
    <font>
      <b/>
      <u/>
      <sz val="11"/>
      <color rgb="FF1155CC"/>
      <name val="Arial"/>
    </font>
    <font>
      <b/>
      <i/>
      <sz val="11"/>
      <color theme="1"/>
      <name val="Arial"/>
    </font>
    <font>
      <b/>
      <sz val="10"/>
      <color rgb="FFFF0000"/>
      <name val="Arial"/>
    </font>
    <font>
      <u/>
      <sz val="10"/>
      <color rgb="FF1155CC"/>
      <name val="Arial"/>
    </font>
    <font>
      <u/>
      <sz val="10"/>
      <name val="Arial"/>
    </font>
  </fonts>
  <fills count="18">
    <fill>
      <patternFill patternType="none"/>
    </fill>
    <fill>
      <patternFill patternType="gray125"/>
    </fill>
    <fill>
      <patternFill patternType="solid">
        <fgColor rgb="FFB86046"/>
        <bgColor rgb="FFB86046"/>
      </patternFill>
    </fill>
    <fill>
      <patternFill patternType="solid">
        <fgColor rgb="FFD19B75"/>
        <bgColor rgb="FFD19B75"/>
      </patternFill>
    </fill>
    <fill>
      <patternFill patternType="solid">
        <fgColor rgb="FFFFFFFF"/>
        <bgColor rgb="FFFFFFFF"/>
      </patternFill>
    </fill>
    <fill>
      <patternFill patternType="solid">
        <fgColor rgb="FFEFEFEF"/>
        <bgColor rgb="FFEFEFEF"/>
      </patternFill>
    </fill>
    <fill>
      <patternFill patternType="solid">
        <fgColor rgb="FFCCCCCC"/>
        <bgColor rgb="FFCCCCCC"/>
      </patternFill>
    </fill>
    <fill>
      <patternFill patternType="solid">
        <fgColor rgb="FFD9EAD3"/>
        <bgColor rgb="FFD9EAD3"/>
      </patternFill>
    </fill>
    <fill>
      <patternFill patternType="solid">
        <fgColor rgb="FFFFF2CC"/>
        <bgColor rgb="FFFFF2CC"/>
      </patternFill>
    </fill>
    <fill>
      <patternFill patternType="solid">
        <fgColor rgb="FFF9CB9C"/>
        <bgColor rgb="FFF9CB9C"/>
      </patternFill>
    </fill>
    <fill>
      <patternFill patternType="solid">
        <fgColor rgb="FFE5E5E1"/>
        <bgColor rgb="FFE5E5E1"/>
      </patternFill>
    </fill>
    <fill>
      <patternFill patternType="solid">
        <fgColor rgb="FFE5E5E2"/>
        <bgColor rgb="FFE5E5E2"/>
      </patternFill>
    </fill>
    <fill>
      <patternFill patternType="solid">
        <fgColor rgb="FFCFE2F3"/>
        <bgColor rgb="FFCFE2F3"/>
      </patternFill>
    </fill>
    <fill>
      <patternFill patternType="solid">
        <fgColor rgb="FFF4CCCC"/>
        <bgColor rgb="FFF4CCCC"/>
      </patternFill>
    </fill>
    <fill>
      <patternFill patternType="solid">
        <fgColor rgb="FFFCE5CD"/>
        <bgColor rgb="FFFCE5CD"/>
      </patternFill>
    </fill>
    <fill>
      <patternFill patternType="solid">
        <fgColor rgb="FFBFBFB9"/>
        <bgColor rgb="FFBFBFB9"/>
      </patternFill>
    </fill>
    <fill>
      <patternFill patternType="solid">
        <fgColor rgb="FFF3F3F3"/>
        <bgColor rgb="FFF3F3F3"/>
      </patternFill>
    </fill>
    <fill>
      <patternFill patternType="solid">
        <fgColor rgb="FFD9D2E9"/>
        <bgColor rgb="FFD9D2E9"/>
      </patternFill>
    </fill>
  </fills>
  <borders count="54">
    <border>
      <left/>
      <right/>
      <top/>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dotted">
        <color rgb="FF000000"/>
      </top>
      <bottom/>
      <diagonal/>
    </border>
    <border>
      <left/>
      <right/>
      <top style="dotted">
        <color rgb="FF000000"/>
      </top>
      <bottom/>
      <diagonal/>
    </border>
    <border>
      <left/>
      <right style="medium">
        <color rgb="FF000000"/>
      </right>
      <top style="dotted">
        <color rgb="FF000000"/>
      </top>
      <bottom/>
      <diagonal/>
    </border>
    <border>
      <left style="dotted">
        <color rgb="FF999999"/>
      </left>
      <right style="dotted">
        <color rgb="FF999999"/>
      </right>
      <top style="dotted">
        <color rgb="FF999999"/>
      </top>
      <bottom style="dotted">
        <color rgb="FF999999"/>
      </bottom>
      <diagonal/>
    </border>
    <border>
      <left style="dotted">
        <color rgb="FF999999"/>
      </left>
      <right style="dotted">
        <color rgb="FF999999"/>
      </right>
      <top style="dotted">
        <color rgb="FF999999"/>
      </top>
      <bottom/>
      <diagonal/>
    </border>
    <border>
      <left style="dotted">
        <color rgb="FF999999"/>
      </left>
      <right style="dotted">
        <color rgb="FF999999"/>
      </right>
      <top/>
      <bottom/>
      <diagonal/>
    </border>
    <border>
      <left style="dotted">
        <color rgb="FF999999"/>
      </left>
      <right style="dotted">
        <color rgb="FF999999"/>
      </right>
      <top/>
      <bottom style="dotted">
        <color rgb="FF999999"/>
      </bottom>
      <diagonal/>
    </border>
    <border>
      <left style="dotted">
        <color rgb="FF999999"/>
      </left>
      <right style="dotted">
        <color rgb="FF434343"/>
      </right>
      <top style="dotted">
        <color rgb="FF999999"/>
      </top>
      <bottom/>
      <diagonal/>
    </border>
    <border>
      <left style="dotted">
        <color rgb="FF999999"/>
      </left>
      <right style="dotted">
        <color rgb="FF434343"/>
      </right>
      <top/>
      <bottom style="dotted">
        <color rgb="FF434343"/>
      </bottom>
      <diagonal/>
    </border>
    <border>
      <left/>
      <right/>
      <top/>
      <bottom style="dotted">
        <color rgb="FF999999"/>
      </bottom>
      <diagonal/>
    </border>
    <border>
      <left/>
      <right style="dotted">
        <color rgb="FF999999"/>
      </right>
      <top/>
      <bottom/>
      <diagonal/>
    </border>
    <border>
      <left/>
      <right style="dotted">
        <color rgb="FF999999"/>
      </right>
      <top style="dotted">
        <color rgb="FF999999"/>
      </top>
      <bottom style="dotted">
        <color rgb="FF999999"/>
      </bottom>
      <diagonal/>
    </border>
    <border>
      <left style="thick">
        <color rgb="FFBF9000"/>
      </left>
      <right style="thick">
        <color rgb="FFBF9000"/>
      </right>
      <top style="thick">
        <color rgb="FFBF9000"/>
      </top>
      <bottom style="thick">
        <color rgb="FFBF9000"/>
      </bottom>
      <diagonal/>
    </border>
    <border>
      <left style="thick">
        <color rgb="FFB45F06"/>
      </left>
      <right style="thick">
        <color rgb="FFB45F06"/>
      </right>
      <top style="thick">
        <color rgb="FFB45F06"/>
      </top>
      <bottom style="thick">
        <color rgb="FFB45F06"/>
      </bottom>
      <diagonal/>
    </border>
    <border>
      <left/>
      <right style="dotted">
        <color rgb="FF999999"/>
      </right>
      <top/>
      <bottom style="dotted">
        <color rgb="FF999999"/>
      </bottom>
      <diagonal/>
    </border>
    <border>
      <left/>
      <right/>
      <top style="thick">
        <color rgb="FF000000"/>
      </top>
      <bottom/>
      <diagonal/>
    </border>
    <border>
      <left/>
      <right style="medium">
        <color rgb="FF000000"/>
      </right>
      <top style="thick">
        <color rgb="FF000000"/>
      </top>
      <bottom/>
      <diagonal/>
    </border>
    <border>
      <left style="thick">
        <color rgb="FFBF9000"/>
      </left>
      <right style="thick">
        <color rgb="FFBF9000"/>
      </right>
      <top style="thick">
        <color rgb="FFBF9000"/>
      </top>
      <bottom/>
      <diagonal/>
    </border>
    <border>
      <left style="thick">
        <color rgb="FFBF9000"/>
      </left>
      <right style="thick">
        <color rgb="FFBF9000"/>
      </right>
      <top/>
      <bottom/>
      <diagonal/>
    </border>
    <border>
      <left style="thick">
        <color rgb="FFBF9000"/>
      </left>
      <right style="thick">
        <color rgb="FFBF9000"/>
      </right>
      <top/>
      <bottom style="thick">
        <color rgb="FFBF9000"/>
      </bottom>
      <diagonal/>
    </border>
    <border>
      <left/>
      <right/>
      <top/>
      <bottom style="thick">
        <color rgb="FFBF9000"/>
      </bottom>
      <diagonal/>
    </border>
    <border>
      <left/>
      <right style="thick">
        <color rgb="FFBF9000"/>
      </right>
      <top/>
      <bottom/>
      <diagonal/>
    </border>
    <border>
      <left style="thick">
        <color rgb="FFBF9000"/>
      </left>
      <right/>
      <top style="thick">
        <color rgb="FFBF9000"/>
      </top>
      <bottom/>
      <diagonal/>
    </border>
    <border>
      <left/>
      <right/>
      <top style="thick">
        <color rgb="FFBF9000"/>
      </top>
      <bottom/>
      <diagonal/>
    </border>
    <border>
      <left/>
      <right style="thick">
        <color rgb="FFBF9000"/>
      </right>
      <top style="thick">
        <color rgb="FFBF9000"/>
      </top>
      <bottom/>
      <diagonal/>
    </border>
    <border>
      <left style="thick">
        <color rgb="FFBF9000"/>
      </left>
      <right/>
      <top/>
      <bottom/>
      <diagonal/>
    </border>
    <border>
      <left style="thick">
        <color rgb="FFBF9000"/>
      </left>
      <right/>
      <top/>
      <bottom style="thick">
        <color rgb="FFBF9000"/>
      </bottom>
      <diagonal/>
    </border>
    <border>
      <left/>
      <right style="thick">
        <color rgb="FFBF9000"/>
      </right>
      <top/>
      <bottom style="thick">
        <color rgb="FFBF9000"/>
      </bottom>
      <diagonal/>
    </border>
    <border>
      <left/>
      <right style="dotted">
        <color rgb="FF999999"/>
      </right>
      <top style="dotted">
        <color rgb="FF999999"/>
      </top>
      <bottom/>
      <diagonal/>
    </border>
    <border>
      <left style="dotted">
        <color rgb="FF999999"/>
      </left>
      <right/>
      <top style="dotted">
        <color rgb="FF999999"/>
      </top>
      <bottom/>
      <diagonal/>
    </border>
    <border>
      <left/>
      <right/>
      <top style="dotted">
        <color rgb="FF999999"/>
      </top>
      <bottom/>
      <diagonal/>
    </border>
    <border>
      <left style="dotted">
        <color rgb="FF999999"/>
      </left>
      <right/>
      <top/>
      <bottom style="dotted">
        <color rgb="FF999999"/>
      </bottom>
      <diagonal/>
    </border>
    <border>
      <left style="dotted">
        <color rgb="FF434343"/>
      </left>
      <right style="dotted">
        <color rgb="FF434343"/>
      </right>
      <top style="dotted">
        <color rgb="FF434343"/>
      </top>
      <bottom/>
      <diagonal/>
    </border>
    <border>
      <left style="dotted">
        <color rgb="FF434343"/>
      </left>
      <right style="dotted">
        <color rgb="FF434343"/>
      </right>
      <top/>
      <bottom style="dotted">
        <color rgb="FF434343"/>
      </bottom>
      <diagonal/>
    </border>
    <border>
      <left style="dotted">
        <color rgb="FF434343"/>
      </left>
      <right style="dotted">
        <color rgb="FF434343"/>
      </right>
      <top/>
      <bottom/>
      <diagonal/>
    </border>
    <border>
      <left style="dotted">
        <color rgb="FF999999"/>
      </left>
      <right/>
      <top/>
      <bottom/>
      <diagonal/>
    </border>
    <border>
      <left/>
      <right/>
      <top/>
      <bottom style="medium">
        <color rgb="FFF1C232"/>
      </bottom>
      <diagonal/>
    </border>
    <border>
      <left/>
      <right style="medium">
        <color rgb="FFF1C232"/>
      </right>
      <top/>
      <bottom/>
      <diagonal/>
    </border>
    <border>
      <left/>
      <right style="medium">
        <color rgb="FFF1C232"/>
      </right>
      <top/>
      <bottom style="medium">
        <color rgb="FFF1C232"/>
      </bottom>
      <diagonal/>
    </border>
  </borders>
  <cellStyleXfs count="1">
    <xf numFmtId="0" fontId="0" fillId="0" borderId="0"/>
  </cellStyleXfs>
  <cellXfs count="341">
    <xf numFmtId="0" fontId="0" fillId="0" borderId="0" xfId="0"/>
    <xf numFmtId="0" fontId="1" fillId="2" borderId="0" xfId="0" applyFont="1" applyFill="1"/>
    <xf numFmtId="0" fontId="2" fillId="3" borderId="0" xfId="0" applyFont="1" applyFill="1" applyAlignment="1">
      <alignment vertical="center"/>
    </xf>
    <xf numFmtId="0" fontId="3" fillId="3" borderId="0" xfId="0" applyFont="1" applyFill="1"/>
    <xf numFmtId="0" fontId="4" fillId="0" borderId="0" xfId="0" applyFont="1"/>
    <xf numFmtId="0" fontId="7" fillId="0" borderId="4" xfId="0" applyFont="1" applyBorder="1"/>
    <xf numFmtId="0" fontId="3" fillId="0" borderId="5" xfId="0" applyFont="1" applyBorder="1"/>
    <xf numFmtId="0" fontId="3" fillId="0" borderId="6" xfId="0" applyFont="1" applyBorder="1"/>
    <xf numFmtId="0" fontId="8" fillId="0" borderId="7" xfId="0" applyFont="1" applyBorder="1" applyAlignment="1">
      <alignment wrapText="1"/>
    </xf>
    <xf numFmtId="0" fontId="8" fillId="0" borderId="0" xfId="0" applyFont="1" applyAlignment="1">
      <alignment wrapText="1"/>
    </xf>
    <xf numFmtId="0" fontId="10" fillId="4" borderId="7" xfId="0" applyFont="1" applyFill="1" applyBorder="1" applyAlignment="1">
      <alignment horizontal="left"/>
    </xf>
    <xf numFmtId="0" fontId="8" fillId="0" borderId="8" xfId="0" applyFont="1" applyBorder="1" applyAlignment="1">
      <alignment wrapText="1"/>
    </xf>
    <xf numFmtId="0" fontId="8" fillId="0" borderId="9" xfId="0" applyFont="1" applyBorder="1" applyAlignment="1">
      <alignment wrapText="1"/>
    </xf>
    <xf numFmtId="0" fontId="8" fillId="0" borderId="10" xfId="0" applyFont="1" applyBorder="1" applyAlignment="1">
      <alignment wrapText="1"/>
    </xf>
    <xf numFmtId="0" fontId="8" fillId="0" borderId="11" xfId="0" applyFont="1" applyBorder="1" applyAlignment="1">
      <alignment wrapText="1"/>
    </xf>
    <xf numFmtId="0" fontId="3" fillId="0" borderId="7" xfId="0" applyFont="1" applyBorder="1"/>
    <xf numFmtId="0" fontId="3" fillId="0" borderId="0" xfId="0" applyFont="1"/>
    <xf numFmtId="0" fontId="3" fillId="0" borderId="8" xfId="0" applyFont="1" applyBorder="1"/>
    <xf numFmtId="0" fontId="12" fillId="0" borderId="0" xfId="0" applyFont="1"/>
    <xf numFmtId="0" fontId="8" fillId="0" borderId="7" xfId="0" applyFont="1" applyBorder="1"/>
    <xf numFmtId="0" fontId="8" fillId="0" borderId="0" xfId="0" applyFont="1"/>
    <xf numFmtId="0" fontId="8" fillId="0" borderId="8" xfId="0" applyFont="1" applyBorder="1"/>
    <xf numFmtId="0" fontId="8" fillId="0" borderId="9" xfId="0" applyFont="1" applyBorder="1"/>
    <xf numFmtId="0" fontId="8" fillId="0" borderId="10" xfId="0" applyFont="1" applyBorder="1"/>
    <xf numFmtId="0" fontId="8" fillId="0" borderId="11" xfId="0" applyFont="1" applyBorder="1"/>
    <xf numFmtId="0" fontId="3" fillId="0" borderId="0" xfId="0" applyFont="1" applyAlignment="1">
      <alignment vertical="center"/>
    </xf>
    <xf numFmtId="0" fontId="13" fillId="5" borderId="12" xfId="0" applyFont="1" applyFill="1" applyBorder="1" applyAlignment="1">
      <alignment vertical="center"/>
    </xf>
    <xf numFmtId="0" fontId="14" fillId="5" borderId="13" xfId="0" applyFont="1" applyFill="1" applyBorder="1" applyAlignment="1">
      <alignment vertical="center"/>
    </xf>
    <xf numFmtId="0" fontId="3" fillId="5" borderId="13" xfId="0" applyFont="1" applyFill="1" applyBorder="1" applyAlignment="1">
      <alignment vertical="center"/>
    </xf>
    <xf numFmtId="0" fontId="15" fillId="5" borderId="13" xfId="0" applyFont="1" applyFill="1" applyBorder="1" applyAlignment="1">
      <alignment horizontal="right" vertical="center"/>
    </xf>
    <xf numFmtId="0" fontId="15" fillId="5" borderId="14" xfId="0" applyFont="1" applyFill="1" applyBorder="1" applyAlignment="1">
      <alignment horizontal="right" vertical="center"/>
    </xf>
    <xf numFmtId="0" fontId="15" fillId="0" borderId="0" xfId="0" applyFont="1"/>
    <xf numFmtId="0" fontId="15" fillId="0" borderId="0" xfId="0" applyFont="1" applyAlignment="1">
      <alignment horizontal="right"/>
    </xf>
    <xf numFmtId="0" fontId="16" fillId="0" borderId="0" xfId="0" applyFont="1" applyAlignment="1">
      <alignment horizontal="right"/>
    </xf>
    <xf numFmtId="0" fontId="12" fillId="0" borderId="0" xfId="0" applyFont="1" applyAlignment="1">
      <alignment horizontal="left" wrapText="1"/>
    </xf>
    <xf numFmtId="0" fontId="3" fillId="0" borderId="0" xfId="0" applyFont="1" applyAlignment="1">
      <alignment horizontal="left" wrapText="1"/>
    </xf>
    <xf numFmtId="0" fontId="3" fillId="0" borderId="16" xfId="0" applyFont="1" applyBorder="1"/>
    <xf numFmtId="0" fontId="20" fillId="0" borderId="0" xfId="0" applyFont="1"/>
    <xf numFmtId="0" fontId="3" fillId="0" borderId="10" xfId="0" applyFont="1" applyBorder="1"/>
    <xf numFmtId="0" fontId="3" fillId="0" borderId="11" xfId="0" applyFont="1" applyBorder="1"/>
    <xf numFmtId="0" fontId="22" fillId="0" borderId="0" xfId="0" applyFont="1"/>
    <xf numFmtId="0" fontId="3" fillId="0" borderId="0" xfId="0" applyFont="1" applyAlignment="1">
      <alignment vertical="top"/>
    </xf>
    <xf numFmtId="0" fontId="8" fillId="10" borderId="7" xfId="0" applyFont="1" applyFill="1" applyBorder="1" applyAlignment="1">
      <alignment wrapText="1"/>
    </xf>
    <xf numFmtId="0" fontId="8" fillId="10" borderId="7" xfId="0" applyFont="1" applyFill="1" applyBorder="1" applyAlignment="1">
      <alignment vertical="top" wrapText="1"/>
    </xf>
    <xf numFmtId="0" fontId="8" fillId="10" borderId="0" xfId="0" applyFont="1" applyFill="1" applyAlignment="1">
      <alignment vertical="top" wrapText="1"/>
    </xf>
    <xf numFmtId="0" fontId="8" fillId="10" borderId="8" xfId="0" applyFont="1" applyFill="1" applyBorder="1" applyAlignment="1">
      <alignment vertical="top" wrapText="1"/>
    </xf>
    <xf numFmtId="0" fontId="3" fillId="8" borderId="18" xfId="0" applyFont="1" applyFill="1" applyBorder="1" applyAlignment="1">
      <alignment vertical="top" wrapText="1"/>
    </xf>
    <xf numFmtId="0" fontId="3" fillId="0" borderId="0" xfId="0" applyFont="1" applyAlignment="1">
      <alignment horizontal="center" vertical="center"/>
    </xf>
    <xf numFmtId="0" fontId="3" fillId="12" borderId="18" xfId="0" applyFont="1" applyFill="1" applyBorder="1" applyAlignment="1">
      <alignment vertical="top" wrapText="1"/>
    </xf>
    <xf numFmtId="0" fontId="3" fillId="0" borderId="0" xfId="0" applyFont="1" applyAlignment="1">
      <alignment wrapText="1"/>
    </xf>
    <xf numFmtId="0" fontId="3" fillId="0" borderId="7" xfId="0" applyFont="1" applyBorder="1" applyAlignment="1">
      <alignment wrapText="1"/>
    </xf>
    <xf numFmtId="0" fontId="3" fillId="13" borderId="19" xfId="0" applyFont="1" applyFill="1" applyBorder="1" applyAlignment="1">
      <alignment vertical="top" wrapText="1"/>
    </xf>
    <xf numFmtId="0" fontId="3" fillId="0" borderId="0" xfId="0" applyFont="1" applyAlignment="1">
      <alignment horizontal="center" vertical="center" wrapText="1"/>
    </xf>
    <xf numFmtId="0" fontId="3" fillId="0" borderId="8" xfId="0" applyFont="1" applyBorder="1" applyAlignment="1">
      <alignment wrapText="1"/>
    </xf>
    <xf numFmtId="0" fontId="3" fillId="13" borderId="18" xfId="0" applyFont="1" applyFill="1" applyBorder="1" applyAlignment="1">
      <alignment vertical="top" wrapText="1"/>
    </xf>
    <xf numFmtId="0" fontId="26" fillId="0" borderId="8" xfId="0" applyFont="1" applyBorder="1"/>
    <xf numFmtId="0" fontId="26" fillId="0" borderId="0" xfId="0" applyFont="1"/>
    <xf numFmtId="0" fontId="28" fillId="0" borderId="24" xfId="0" applyFont="1" applyBorder="1"/>
    <xf numFmtId="0" fontId="26" fillId="0" borderId="25" xfId="0" applyFont="1" applyBorder="1"/>
    <xf numFmtId="0" fontId="28" fillId="0" borderId="0" xfId="0" applyFont="1"/>
    <xf numFmtId="0" fontId="26" fillId="8" borderId="26" xfId="0" applyFont="1" applyFill="1" applyBorder="1" applyAlignment="1">
      <alignment vertical="top" wrapText="1"/>
    </xf>
    <xf numFmtId="0" fontId="3" fillId="0" borderId="9" xfId="0" applyFont="1" applyBorder="1"/>
    <xf numFmtId="0" fontId="31" fillId="0" borderId="0" xfId="0" applyFont="1"/>
    <xf numFmtId="0" fontId="8" fillId="0" borderId="7" xfId="0" applyFont="1" applyBorder="1" applyAlignment="1">
      <alignment horizontal="left" vertical="top" wrapText="1"/>
    </xf>
    <xf numFmtId="0" fontId="3" fillId="8" borderId="27" xfId="0" applyFont="1" applyFill="1" applyBorder="1" applyAlignment="1">
      <alignment vertical="top" wrapText="1"/>
    </xf>
    <xf numFmtId="0" fontId="10" fillId="10" borderId="7" xfId="0" applyFont="1" applyFill="1" applyBorder="1" applyAlignment="1">
      <alignment horizontal="left" wrapText="1"/>
    </xf>
    <xf numFmtId="0" fontId="26" fillId="14" borderId="28" xfId="0" applyFont="1" applyFill="1" applyBorder="1" applyAlignment="1">
      <alignment vertical="top" wrapText="1"/>
    </xf>
    <xf numFmtId="0" fontId="26" fillId="2" borderId="0" xfId="0" applyFont="1" applyFill="1"/>
    <xf numFmtId="0" fontId="26" fillId="3" borderId="0" xfId="0" applyFont="1" applyFill="1"/>
    <xf numFmtId="0" fontId="36" fillId="0" borderId="0" xfId="0" applyFont="1"/>
    <xf numFmtId="0" fontId="37" fillId="0" borderId="0" xfId="0" applyFont="1"/>
    <xf numFmtId="0" fontId="26" fillId="0" borderId="10" xfId="0" applyFont="1" applyBorder="1"/>
    <xf numFmtId="0" fontId="26" fillId="0" borderId="8" xfId="0" applyFont="1" applyBorder="1" applyAlignment="1">
      <alignment vertical="top"/>
    </xf>
    <xf numFmtId="0" fontId="26" fillId="0" borderId="0" xfId="0" applyFont="1" applyAlignment="1">
      <alignment vertical="top"/>
    </xf>
    <xf numFmtId="0" fontId="26" fillId="8" borderId="29" xfId="0" applyFont="1" applyFill="1" applyBorder="1" applyAlignment="1">
      <alignment vertical="top" wrapText="1"/>
    </xf>
    <xf numFmtId="0" fontId="26" fillId="0" borderId="25" xfId="0" applyFont="1" applyBorder="1" applyAlignment="1">
      <alignment horizontal="center"/>
    </xf>
    <xf numFmtId="0" fontId="26" fillId="0" borderId="25" xfId="0" applyFont="1" applyBorder="1" applyAlignment="1">
      <alignment horizontal="center" wrapText="1"/>
    </xf>
    <xf numFmtId="0" fontId="26" fillId="0" borderId="24" xfId="0" applyFont="1" applyBorder="1"/>
    <xf numFmtId="0" fontId="26" fillId="0" borderId="11" xfId="0" applyFont="1" applyBorder="1"/>
    <xf numFmtId="0" fontId="7" fillId="0" borderId="5" xfId="0" applyFont="1" applyBorder="1" applyAlignment="1">
      <alignment vertical="top"/>
    </xf>
    <xf numFmtId="0" fontId="31" fillId="0" borderId="5" xfId="0" applyFont="1" applyBorder="1" applyAlignment="1">
      <alignment horizontal="right" vertical="top"/>
    </xf>
    <xf numFmtId="0" fontId="3" fillId="14" borderId="18" xfId="0" applyFont="1" applyFill="1" applyBorder="1" applyAlignment="1">
      <alignment vertical="top" wrapText="1"/>
    </xf>
    <xf numFmtId="0" fontId="3" fillId="14" borderId="28" xfId="0" applyFont="1" applyFill="1" applyBorder="1" applyAlignment="1">
      <alignment vertical="top" wrapText="1"/>
    </xf>
    <xf numFmtId="0" fontId="26" fillId="3" borderId="0" xfId="0" applyFont="1" applyFill="1" applyAlignment="1">
      <alignment vertical="top"/>
    </xf>
    <xf numFmtId="0" fontId="26" fillId="0" borderId="10" xfId="0" applyFont="1" applyBorder="1" applyAlignment="1">
      <alignment vertical="top"/>
    </xf>
    <xf numFmtId="0" fontId="46" fillId="0" borderId="35" xfId="0" applyFont="1" applyBorder="1"/>
    <xf numFmtId="0" fontId="46" fillId="0" borderId="24" xfId="0" applyFont="1" applyBorder="1"/>
    <xf numFmtId="0" fontId="46" fillId="0" borderId="24" xfId="0" applyFont="1" applyBorder="1" applyAlignment="1">
      <alignment wrapText="1"/>
    </xf>
    <xf numFmtId="0" fontId="46" fillId="0" borderId="24" xfId="0" applyFont="1" applyBorder="1" applyAlignment="1">
      <alignment vertical="top"/>
    </xf>
    <xf numFmtId="0" fontId="26" fillId="0" borderId="36" xfId="0" applyFont="1" applyBorder="1"/>
    <xf numFmtId="0" fontId="26" fillId="16" borderId="27" xfId="0" applyFont="1" applyFill="1" applyBorder="1" applyAlignment="1">
      <alignment vertical="top" wrapText="1"/>
    </xf>
    <xf numFmtId="0" fontId="47" fillId="0" borderId="25" xfId="0" applyFont="1" applyBorder="1" applyAlignment="1">
      <alignment horizontal="center" vertical="center"/>
    </xf>
    <xf numFmtId="0" fontId="26" fillId="16" borderId="29" xfId="0" applyFont="1" applyFill="1" applyBorder="1" applyAlignment="1">
      <alignment vertical="top" wrapText="1"/>
    </xf>
    <xf numFmtId="0" fontId="48" fillId="0" borderId="25" xfId="0" applyFont="1" applyBorder="1" applyAlignment="1">
      <alignment horizontal="center" vertical="center"/>
    </xf>
    <xf numFmtId="0" fontId="26" fillId="0" borderId="25" xfId="0" applyFont="1" applyBorder="1" applyAlignment="1">
      <alignment horizontal="center" vertical="center"/>
    </xf>
    <xf numFmtId="0" fontId="26" fillId="12" borderId="29" xfId="0" applyFont="1" applyFill="1" applyBorder="1" applyAlignment="1">
      <alignment horizontal="left" vertical="top" wrapText="1"/>
    </xf>
    <xf numFmtId="0" fontId="3" fillId="3" borderId="0" xfId="0" applyFont="1" applyFill="1" applyAlignment="1">
      <alignment vertical="top"/>
    </xf>
    <xf numFmtId="0" fontId="7" fillId="0" borderId="0" xfId="0" applyFont="1" applyAlignment="1">
      <alignment vertical="center"/>
    </xf>
    <xf numFmtId="0" fontId="3" fillId="0" borderId="5" xfId="0" applyFont="1" applyBorder="1" applyAlignment="1">
      <alignment vertical="center"/>
    </xf>
    <xf numFmtId="0" fontId="3" fillId="0" borderId="5" xfId="0" applyFont="1" applyBorder="1" applyAlignment="1">
      <alignment wrapText="1"/>
    </xf>
    <xf numFmtId="0" fontId="34" fillId="0" borderId="0" xfId="0" applyFont="1"/>
    <xf numFmtId="0" fontId="8" fillId="0" borderId="0" xfId="0" applyFont="1" applyAlignment="1">
      <alignment vertical="center"/>
    </xf>
    <xf numFmtId="0" fontId="34" fillId="0" borderId="0" xfId="0" applyFont="1" applyAlignment="1">
      <alignment wrapText="1"/>
    </xf>
    <xf numFmtId="0" fontId="34" fillId="0" borderId="0" xfId="0" applyFont="1" applyAlignment="1">
      <alignment vertical="top"/>
    </xf>
    <xf numFmtId="0" fontId="3" fillId="16" borderId="27" xfId="0" applyFont="1" applyFill="1" applyBorder="1" applyAlignment="1">
      <alignment vertical="top" wrapText="1"/>
    </xf>
    <xf numFmtId="0" fontId="52" fillId="0" borderId="0" xfId="0" applyFont="1" applyAlignment="1">
      <alignment horizontal="center" vertical="center"/>
    </xf>
    <xf numFmtId="0" fontId="3" fillId="16" borderId="18" xfId="0" applyFont="1" applyFill="1" applyBorder="1" applyAlignment="1">
      <alignment vertical="top" wrapText="1"/>
    </xf>
    <xf numFmtId="0" fontId="53" fillId="0" borderId="0" xfId="0" applyFont="1" applyAlignment="1">
      <alignment horizontal="center" vertical="center"/>
    </xf>
    <xf numFmtId="0" fontId="8" fillId="0" borderId="0" xfId="0" applyFont="1" applyAlignment="1">
      <alignment vertical="top" wrapText="1"/>
    </xf>
    <xf numFmtId="0" fontId="3" fillId="0" borderId="0" xfId="0" applyFont="1" applyAlignment="1">
      <alignment vertical="top" wrapText="1"/>
    </xf>
    <xf numFmtId="0" fontId="3" fillId="0" borderId="5" xfId="0" applyFont="1" applyBorder="1" applyAlignment="1">
      <alignment vertical="top"/>
    </xf>
    <xf numFmtId="0" fontId="3" fillId="3" borderId="0" xfId="0" applyFont="1" applyFill="1" applyAlignment="1">
      <alignment vertical="center"/>
    </xf>
    <xf numFmtId="0" fontId="3" fillId="0" borderId="5" xfId="0" applyFont="1" applyBorder="1" applyAlignment="1">
      <alignment vertical="top" wrapText="1"/>
    </xf>
    <xf numFmtId="0" fontId="8" fillId="0" borderId="0" xfId="0" applyFont="1" applyAlignment="1">
      <alignment vertical="center" wrapText="1"/>
    </xf>
    <xf numFmtId="0" fontId="15" fillId="0" borderId="0" xfId="0" applyFont="1" applyAlignment="1">
      <alignment horizontal="right" vertical="center"/>
    </xf>
    <xf numFmtId="0" fontId="34" fillId="0" borderId="0" xfId="0" applyFont="1" applyAlignment="1">
      <alignment vertical="top" wrapText="1"/>
    </xf>
    <xf numFmtId="0" fontId="8" fillId="0" borderId="10" xfId="0" applyFont="1" applyBorder="1" applyAlignment="1">
      <alignment vertical="top" wrapText="1"/>
    </xf>
    <xf numFmtId="0" fontId="3" fillId="0" borderId="10" xfId="0" applyFont="1" applyBorder="1" applyAlignment="1">
      <alignment horizontal="center" vertical="center"/>
    </xf>
    <xf numFmtId="0" fontId="3" fillId="0" borderId="10" xfId="0" applyFont="1" applyBorder="1" applyAlignment="1">
      <alignment vertical="top" wrapText="1"/>
    </xf>
    <xf numFmtId="0" fontId="3" fillId="0" borderId="10" xfId="0" applyFont="1" applyBorder="1" applyAlignment="1">
      <alignment vertical="center"/>
    </xf>
    <xf numFmtId="0" fontId="8" fillId="0" borderId="0" xfId="0" applyFont="1" applyAlignment="1">
      <alignment horizontal="center" vertical="center"/>
    </xf>
    <xf numFmtId="0" fontId="8" fillId="15" borderId="7" xfId="0" quotePrefix="1" applyFont="1" applyFill="1" applyBorder="1" applyAlignment="1">
      <alignment vertical="top" wrapText="1"/>
    </xf>
    <xf numFmtId="0" fontId="8" fillId="15" borderId="8" xfId="0" applyFont="1" applyFill="1" applyBorder="1" applyAlignment="1">
      <alignment wrapText="1"/>
    </xf>
    <xf numFmtId="0" fontId="3" fillId="14" borderId="18" xfId="0" applyFont="1" applyFill="1" applyBorder="1" applyAlignment="1">
      <alignment vertical="top"/>
    </xf>
    <xf numFmtId="0" fontId="8" fillId="10" borderId="0" xfId="0" applyFont="1" applyFill="1" applyAlignment="1">
      <alignment wrapText="1"/>
    </xf>
    <xf numFmtId="0" fontId="8" fillId="10" borderId="8" xfId="0" applyFont="1" applyFill="1" applyBorder="1" applyAlignment="1">
      <alignment wrapText="1"/>
    </xf>
    <xf numFmtId="0" fontId="8" fillId="0" borderId="7" xfId="0" applyFont="1" applyBorder="1" applyAlignment="1">
      <alignment vertical="top" wrapText="1"/>
    </xf>
    <xf numFmtId="0" fontId="8" fillId="0" borderId="8" xfId="0" applyFont="1" applyBorder="1" applyAlignment="1">
      <alignment vertical="top" wrapText="1"/>
    </xf>
    <xf numFmtId="0" fontId="8" fillId="0" borderId="0" xfId="0" applyFont="1" applyAlignment="1">
      <alignment vertical="top"/>
    </xf>
    <xf numFmtId="0" fontId="56" fillId="0" borderId="0" xfId="0" applyFont="1" applyAlignment="1">
      <alignment vertical="top"/>
    </xf>
    <xf numFmtId="0" fontId="57" fillId="0" borderId="0" xfId="0" applyFont="1" applyAlignment="1">
      <alignment vertical="top"/>
    </xf>
    <xf numFmtId="0" fontId="58" fillId="0" borderId="0" xfId="0" applyFont="1" applyAlignment="1">
      <alignment vertical="top"/>
    </xf>
    <xf numFmtId="0" fontId="59" fillId="0" borderId="0" xfId="0" applyFont="1" applyAlignment="1">
      <alignment horizontal="right"/>
    </xf>
    <xf numFmtId="0" fontId="15" fillId="0" borderId="0" xfId="0" applyFont="1" applyAlignment="1">
      <alignment horizontal="center"/>
    </xf>
    <xf numFmtId="0" fontId="60" fillId="0" borderId="0" xfId="0" applyFont="1" applyAlignment="1">
      <alignment vertical="top"/>
    </xf>
    <xf numFmtId="0" fontId="45" fillId="0" borderId="7" xfId="0" applyFont="1" applyBorder="1" applyAlignment="1">
      <alignment horizontal="center" wrapText="1"/>
    </xf>
    <xf numFmtId="0" fontId="45" fillId="0" borderId="0" xfId="0" applyFont="1" applyAlignment="1">
      <alignment wrapText="1"/>
    </xf>
    <xf numFmtId="0" fontId="45" fillId="0" borderId="8" xfId="0" applyFont="1" applyBorder="1" applyAlignment="1">
      <alignment wrapText="1"/>
    </xf>
    <xf numFmtId="0" fontId="45" fillId="10" borderId="7" xfId="0" applyFont="1" applyFill="1" applyBorder="1" applyAlignment="1">
      <alignment horizontal="center" wrapText="1"/>
    </xf>
    <xf numFmtId="0" fontId="46" fillId="0" borderId="0" xfId="0" applyFont="1"/>
    <xf numFmtId="0" fontId="46" fillId="0" borderId="0" xfId="0" applyFont="1" applyAlignment="1">
      <alignment vertical="top"/>
    </xf>
    <xf numFmtId="0" fontId="46" fillId="0" borderId="0" xfId="0" applyFont="1" applyAlignment="1">
      <alignment wrapText="1"/>
    </xf>
    <xf numFmtId="0" fontId="26" fillId="0" borderId="24" xfId="0" applyFont="1" applyBorder="1" applyAlignment="1">
      <alignment vertical="top"/>
    </xf>
    <xf numFmtId="0" fontId="27" fillId="0" borderId="0" xfId="0" quotePrefix="1" applyFont="1" applyAlignment="1">
      <alignment horizontal="center" vertical="top" wrapText="1"/>
    </xf>
    <xf numFmtId="0" fontId="46" fillId="0" borderId="0" xfId="0" applyFont="1" applyAlignment="1">
      <alignment vertical="top" wrapText="1"/>
    </xf>
    <xf numFmtId="0" fontId="26" fillId="0" borderId="29" xfId="0" applyFont="1" applyBorder="1" applyAlignment="1">
      <alignment vertical="top" wrapText="1"/>
    </xf>
    <xf numFmtId="0" fontId="26" fillId="0" borderId="36" xfId="0" applyFont="1" applyBorder="1" applyAlignment="1">
      <alignment vertical="top"/>
    </xf>
    <xf numFmtId="0" fontId="3" fillId="0" borderId="0" xfId="0" applyFont="1" applyAlignment="1">
      <alignment horizontal="center" vertical="top"/>
    </xf>
    <xf numFmtId="0" fontId="10" fillId="0" borderId="7" xfId="0" applyFont="1" applyBorder="1" applyAlignment="1">
      <alignment horizontal="left" wrapText="1"/>
    </xf>
    <xf numFmtId="0" fontId="10" fillId="0" borderId="0" xfId="0" applyFont="1" applyAlignment="1">
      <alignment horizontal="left" wrapText="1"/>
    </xf>
    <xf numFmtId="0" fontId="10" fillId="0" borderId="8" xfId="0" applyFont="1" applyBorder="1" applyAlignment="1">
      <alignment horizontal="left" wrapText="1"/>
    </xf>
    <xf numFmtId="0" fontId="65" fillId="10" borderId="7" xfId="0" applyFont="1" applyFill="1" applyBorder="1" applyAlignment="1">
      <alignment horizontal="center" wrapText="1"/>
    </xf>
    <xf numFmtId="0" fontId="68" fillId="10" borderId="0" xfId="0" applyFont="1" applyFill="1" applyAlignment="1">
      <alignment horizontal="center" wrapText="1"/>
    </xf>
    <xf numFmtId="0" fontId="46" fillId="0" borderId="51" xfId="0" applyFont="1" applyBorder="1" applyAlignment="1">
      <alignment wrapText="1"/>
    </xf>
    <xf numFmtId="0" fontId="47" fillId="0" borderId="52" xfId="0" applyFont="1" applyBorder="1" applyAlignment="1">
      <alignment horizontal="center" vertical="center"/>
    </xf>
    <xf numFmtId="0" fontId="26" fillId="16" borderId="53" xfId="0" applyFont="1" applyFill="1" applyBorder="1" applyAlignment="1">
      <alignment vertical="top" wrapText="1"/>
    </xf>
    <xf numFmtId="0" fontId="48" fillId="0" borderId="0" xfId="0" applyFont="1" applyAlignment="1">
      <alignment horizontal="center"/>
    </xf>
    <xf numFmtId="0" fontId="15" fillId="0" borderId="10" xfId="0" applyFont="1" applyBorder="1" applyAlignment="1">
      <alignment horizontal="right" vertical="center"/>
    </xf>
    <xf numFmtId="0" fontId="15" fillId="0" borderId="10" xfId="0" applyFont="1" applyBorder="1" applyAlignment="1">
      <alignment horizontal="right"/>
    </xf>
    <xf numFmtId="0" fontId="15" fillId="0" borderId="11" xfId="0" applyFont="1" applyBorder="1" applyAlignment="1">
      <alignment horizontal="right"/>
    </xf>
    <xf numFmtId="0" fontId="46" fillId="0" borderId="35" xfId="0" applyFont="1" applyBorder="1" applyAlignment="1">
      <alignment wrapText="1"/>
    </xf>
    <xf numFmtId="0" fontId="47" fillId="0" borderId="52" xfId="0" applyFont="1" applyBorder="1" applyAlignment="1">
      <alignment horizontal="center"/>
    </xf>
    <xf numFmtId="0" fontId="72" fillId="0" borderId="0" xfId="0" applyFont="1"/>
    <xf numFmtId="0" fontId="73" fillId="0" borderId="0" xfId="0" applyFont="1" applyAlignment="1">
      <alignment horizontal="center"/>
    </xf>
    <xf numFmtId="0" fontId="2" fillId="3" borderId="0" xfId="0" applyFont="1" applyFill="1" applyAlignment="1">
      <alignment vertical="center"/>
    </xf>
    <xf numFmtId="0" fontId="0" fillId="0" borderId="0" xfId="0"/>
    <xf numFmtId="0" fontId="5" fillId="0" borderId="1" xfId="0" applyFont="1" applyBorder="1" applyAlignment="1">
      <alignment vertical="center" wrapText="1"/>
    </xf>
    <xf numFmtId="0" fontId="6" fillId="0" borderId="2" xfId="0" applyFont="1" applyBorder="1"/>
    <xf numFmtId="0" fontId="6" fillId="0" borderId="3" xfId="0" applyFont="1" applyBorder="1"/>
    <xf numFmtId="0" fontId="8" fillId="0" borderId="7" xfId="0" applyFont="1" applyBorder="1" applyAlignment="1">
      <alignment wrapText="1"/>
    </xf>
    <xf numFmtId="0" fontId="6" fillId="0" borderId="8" xfId="0" applyFont="1" applyBorder="1"/>
    <xf numFmtId="0" fontId="9" fillId="0" borderId="0" xfId="0" applyFont="1" applyAlignment="1">
      <alignment wrapText="1"/>
    </xf>
    <xf numFmtId="0" fontId="8" fillId="0" borderId="0" xfId="0" applyFont="1" applyAlignment="1">
      <alignment wrapText="1"/>
    </xf>
    <xf numFmtId="0" fontId="8" fillId="0" borderId="0" xfId="0" applyFont="1" applyAlignment="1">
      <alignment horizontal="left"/>
    </xf>
    <xf numFmtId="0" fontId="8" fillId="0" borderId="7" xfId="0" applyFont="1" applyBorder="1"/>
    <xf numFmtId="0" fontId="16" fillId="0" borderId="0" xfId="0" applyFont="1" applyAlignment="1">
      <alignment horizontal="right"/>
    </xf>
    <xf numFmtId="0" fontId="11" fillId="0" borderId="0" xfId="0" applyFont="1" applyAlignment="1">
      <alignment wrapText="1"/>
    </xf>
    <xf numFmtId="0" fontId="12" fillId="0" borderId="16" xfId="0" applyFont="1" applyBorder="1"/>
    <xf numFmtId="0" fontId="6" fillId="0" borderId="16" xfId="0" applyFont="1" applyBorder="1"/>
    <xf numFmtId="0" fontId="6" fillId="0" borderId="17" xfId="0" applyFont="1" applyBorder="1"/>
    <xf numFmtId="0" fontId="12" fillId="0" borderId="0" xfId="0" applyFont="1"/>
    <xf numFmtId="0" fontId="19" fillId="7" borderId="15" xfId="0" applyFont="1" applyFill="1" applyBorder="1" applyAlignment="1">
      <alignment horizontal="center" vertical="center" textRotation="90"/>
    </xf>
    <xf numFmtId="0" fontId="6" fillId="0" borderId="7" xfId="0" applyFont="1" applyBorder="1"/>
    <xf numFmtId="0" fontId="19" fillId="8" borderId="15" xfId="0" applyFont="1" applyFill="1" applyBorder="1" applyAlignment="1">
      <alignment horizontal="center" vertical="center" textRotation="90"/>
    </xf>
    <xf numFmtId="0" fontId="19" fillId="9" borderId="15" xfId="0" applyFont="1" applyFill="1" applyBorder="1" applyAlignment="1">
      <alignment horizontal="center" vertical="center" textRotation="90"/>
    </xf>
    <xf numFmtId="0" fontId="6" fillId="0" borderId="9" xfId="0" applyFont="1" applyBorder="1"/>
    <xf numFmtId="0" fontId="17" fillId="3" borderId="0" xfId="0" applyFont="1" applyFill="1" applyAlignment="1">
      <alignment vertical="center"/>
    </xf>
    <xf numFmtId="0" fontId="8" fillId="0" borderId="9" xfId="0" applyFont="1" applyBorder="1" applyAlignment="1">
      <alignment wrapText="1"/>
    </xf>
    <xf numFmtId="0" fontId="6" fillId="0" borderId="10" xfId="0" applyFont="1" applyBorder="1"/>
    <xf numFmtId="0" fontId="6" fillId="0" borderId="11" xfId="0" applyFont="1" applyBorder="1"/>
    <xf numFmtId="0" fontId="18" fillId="0" borderId="7" xfId="0" applyFont="1" applyBorder="1" applyAlignment="1">
      <alignment wrapText="1"/>
    </xf>
    <xf numFmtId="0" fontId="19" fillId="6" borderId="15" xfId="0" applyFont="1" applyFill="1" applyBorder="1" applyAlignment="1">
      <alignment horizontal="center" vertical="center" textRotation="90"/>
    </xf>
    <xf numFmtId="0" fontId="20" fillId="0" borderId="0" xfId="0" applyFont="1"/>
    <xf numFmtId="0" fontId="21" fillId="0" borderId="0" xfId="0" applyFont="1"/>
    <xf numFmtId="0" fontId="7" fillId="0" borderId="0" xfId="0" applyFont="1"/>
    <xf numFmtId="0" fontId="7" fillId="0" borderId="4" xfId="0" applyFont="1" applyBorder="1" applyAlignment="1">
      <alignment vertical="top"/>
    </xf>
    <xf numFmtId="0" fontId="6" fillId="0" borderId="5" xfId="0" applyFont="1" applyBorder="1"/>
    <xf numFmtId="0" fontId="23" fillId="0" borderId="5" xfId="0" applyFont="1" applyBorder="1" applyAlignment="1">
      <alignment horizontal="right" vertical="top"/>
    </xf>
    <xf numFmtId="0" fontId="6" fillId="0" borderId="6" xfId="0" applyFont="1" applyBorder="1"/>
    <xf numFmtId="0" fontId="24" fillId="10" borderId="7" xfId="0" applyFont="1" applyFill="1" applyBorder="1" applyAlignment="1">
      <alignment wrapText="1"/>
    </xf>
    <xf numFmtId="0" fontId="8" fillId="10" borderId="7" xfId="0" applyFont="1" applyFill="1" applyBorder="1" applyAlignment="1">
      <alignment wrapText="1"/>
    </xf>
    <xf numFmtId="0" fontId="25" fillId="10" borderId="0" xfId="0" applyFont="1" applyFill="1" applyAlignment="1">
      <alignment vertical="top" wrapText="1"/>
    </xf>
    <xf numFmtId="0" fontId="8" fillId="11" borderId="7" xfId="0" applyFont="1" applyFill="1" applyBorder="1" applyAlignment="1">
      <alignment wrapText="1"/>
    </xf>
    <xf numFmtId="0" fontId="8" fillId="11" borderId="9" xfId="0" applyFont="1" applyFill="1" applyBorder="1" applyAlignment="1">
      <alignment wrapText="1"/>
    </xf>
    <xf numFmtId="0" fontId="3" fillId="0" borderId="7" xfId="0" applyFont="1" applyBorder="1"/>
    <xf numFmtId="0" fontId="3" fillId="8" borderId="19" xfId="0" applyFont="1" applyFill="1" applyBorder="1" applyAlignment="1">
      <alignment vertical="top" wrapText="1"/>
    </xf>
    <xf numFmtId="0" fontId="6" fillId="0" borderId="20" xfId="0" applyFont="1" applyBorder="1"/>
    <xf numFmtId="0" fontId="6" fillId="0" borderId="21" xfId="0" applyFont="1" applyBorder="1"/>
    <xf numFmtId="0" fontId="3" fillId="0" borderId="0" xfId="0" applyFont="1" applyAlignment="1">
      <alignment horizontal="center" vertical="center"/>
    </xf>
    <xf numFmtId="0" fontId="3" fillId="12" borderId="19" xfId="0" applyFont="1" applyFill="1" applyBorder="1" applyAlignment="1">
      <alignment vertical="top" wrapText="1"/>
    </xf>
    <xf numFmtId="0" fontId="3" fillId="13" borderId="19" xfId="0" applyFont="1" applyFill="1" applyBorder="1" applyAlignment="1">
      <alignment vertical="top" wrapText="1"/>
    </xf>
    <xf numFmtId="0" fontId="3" fillId="0" borderId="0" xfId="0" applyFont="1" applyAlignment="1">
      <alignment horizontal="center" vertical="center" wrapText="1"/>
    </xf>
    <xf numFmtId="0" fontId="3" fillId="13" borderId="22" xfId="0" applyFont="1" applyFill="1" applyBorder="1" applyAlignment="1">
      <alignment vertical="top" wrapText="1"/>
    </xf>
    <xf numFmtId="0" fontId="6" fillId="0" borderId="23" xfId="0" applyFont="1" applyBorder="1"/>
    <xf numFmtId="0" fontId="8" fillId="10" borderId="7" xfId="0" applyFont="1" applyFill="1" applyBorder="1"/>
    <xf numFmtId="0" fontId="27" fillId="10" borderId="0" xfId="0" applyFont="1" applyFill="1" applyAlignment="1">
      <alignment wrapText="1"/>
    </xf>
    <xf numFmtId="0" fontId="26" fillId="14" borderId="19" xfId="0" applyFont="1" applyFill="1" applyBorder="1" applyAlignment="1">
      <alignment horizontal="left" vertical="top" wrapText="1"/>
    </xf>
    <xf numFmtId="0" fontId="26" fillId="0" borderId="25" xfId="0" applyFont="1" applyBorder="1" applyAlignment="1">
      <alignment horizontal="center" vertical="center" wrapText="1"/>
    </xf>
    <xf numFmtId="0" fontId="6" fillId="0" borderId="25" xfId="0" applyFont="1" applyBorder="1"/>
    <xf numFmtId="0" fontId="29" fillId="10" borderId="0" xfId="0" applyFont="1" applyFill="1" applyAlignment="1">
      <alignment wrapText="1"/>
    </xf>
    <xf numFmtId="0" fontId="8" fillId="10" borderId="9" xfId="0" applyFont="1" applyFill="1" applyBorder="1" applyAlignment="1">
      <alignment wrapText="1"/>
    </xf>
    <xf numFmtId="0" fontId="30" fillId="0" borderId="0" xfId="0" applyFont="1"/>
    <xf numFmtId="0" fontId="32" fillId="0" borderId="0" xfId="0" applyFont="1" applyAlignment="1">
      <alignment horizontal="center"/>
    </xf>
    <xf numFmtId="0" fontId="8" fillId="10" borderId="7" xfId="0" applyFont="1" applyFill="1" applyBorder="1" applyAlignment="1">
      <alignment vertical="top" wrapText="1"/>
    </xf>
    <xf numFmtId="0" fontId="10" fillId="10" borderId="0" xfId="0" applyFont="1" applyFill="1" applyAlignment="1">
      <alignment horizontal="left" wrapText="1"/>
    </xf>
    <xf numFmtId="0" fontId="33" fillId="8" borderId="19" xfId="0" applyFont="1" applyFill="1" applyBorder="1" applyAlignment="1">
      <alignment vertical="top" wrapText="1"/>
    </xf>
    <xf numFmtId="0" fontId="34" fillId="15" borderId="9" xfId="0" applyFont="1" applyFill="1" applyBorder="1" applyAlignment="1">
      <alignment wrapText="1"/>
    </xf>
    <xf numFmtId="0" fontId="10" fillId="15" borderId="7" xfId="0" applyFont="1" applyFill="1" applyBorder="1" applyAlignment="1">
      <alignment horizontal="left" wrapText="1"/>
    </xf>
    <xf numFmtId="0" fontId="26" fillId="13" borderId="19" xfId="0" applyFont="1" applyFill="1" applyBorder="1" applyAlignment="1">
      <alignment horizontal="left" vertical="top" wrapText="1"/>
    </xf>
    <xf numFmtId="0" fontId="35" fillId="3" borderId="0" xfId="0" applyFont="1" applyFill="1"/>
    <xf numFmtId="0" fontId="36" fillId="0" borderId="0" xfId="0" applyFont="1"/>
    <xf numFmtId="0" fontId="36" fillId="0" borderId="0" xfId="0" applyFont="1" applyAlignment="1">
      <alignment vertical="top"/>
    </xf>
    <xf numFmtId="0" fontId="38" fillId="0" borderId="0" xfId="0" applyFont="1" applyAlignment="1">
      <alignment horizontal="right" vertical="top"/>
    </xf>
    <xf numFmtId="0" fontId="39" fillId="10" borderId="0" xfId="0" applyFont="1" applyFill="1" applyAlignment="1">
      <alignment wrapText="1"/>
    </xf>
    <xf numFmtId="0" fontId="27" fillId="10" borderId="10" xfId="0" applyFont="1" applyFill="1" applyBorder="1" applyAlignment="1">
      <alignment wrapText="1"/>
    </xf>
    <xf numFmtId="0" fontId="27" fillId="10" borderId="0" xfId="0" applyFont="1" applyFill="1"/>
    <xf numFmtId="0" fontId="26" fillId="13" borderId="25" xfId="0" applyFont="1" applyFill="1" applyBorder="1" applyAlignment="1">
      <alignment vertical="top" wrapText="1"/>
    </xf>
    <xf numFmtId="0" fontId="6" fillId="0" borderId="29" xfId="0" applyFont="1" applyBorder="1"/>
    <xf numFmtId="0" fontId="26" fillId="13" borderId="19" xfId="0" applyFont="1" applyFill="1" applyBorder="1" applyAlignment="1">
      <alignment vertical="top" wrapText="1"/>
    </xf>
    <xf numFmtId="0" fontId="26" fillId="13" borderId="25" xfId="0" applyFont="1" applyFill="1" applyBorder="1" applyAlignment="1">
      <alignment horizontal="left" vertical="top" wrapText="1"/>
    </xf>
    <xf numFmtId="0" fontId="26" fillId="8" borderId="25" xfId="0" applyFont="1" applyFill="1" applyBorder="1" applyAlignment="1">
      <alignment vertical="top" wrapText="1"/>
    </xf>
    <xf numFmtId="0" fontId="26" fillId="12" borderId="25" xfId="0" applyFont="1" applyFill="1" applyBorder="1" applyAlignment="1">
      <alignment horizontal="left" vertical="top" wrapText="1"/>
    </xf>
    <xf numFmtId="0" fontId="42" fillId="0" borderId="0" xfId="0" applyFont="1"/>
    <xf numFmtId="0" fontId="43" fillId="0" borderId="0" xfId="0" applyFont="1" applyAlignment="1">
      <alignment horizontal="right"/>
    </xf>
    <xf numFmtId="0" fontId="44" fillId="0" borderId="0" xfId="0" applyFont="1" applyAlignment="1">
      <alignment horizontal="center"/>
    </xf>
    <xf numFmtId="0" fontId="26" fillId="12" borderId="19" xfId="0" applyFont="1" applyFill="1" applyBorder="1" applyAlignment="1">
      <alignment vertical="top" wrapText="1"/>
    </xf>
    <xf numFmtId="0" fontId="40" fillId="0" borderId="0" xfId="0" applyFont="1" applyAlignment="1">
      <alignment horizontal="right"/>
    </xf>
    <xf numFmtId="0" fontId="36" fillId="0" borderId="30" xfId="0" applyFont="1" applyBorder="1" applyAlignment="1">
      <alignment vertical="top"/>
    </xf>
    <xf numFmtId="0" fontId="6" fillId="0" borderId="30" xfId="0" applyFont="1" applyBorder="1"/>
    <xf numFmtId="0" fontId="41" fillId="0" borderId="30" xfId="0" applyFont="1" applyBorder="1" applyAlignment="1">
      <alignment horizontal="right" vertical="top"/>
    </xf>
    <xf numFmtId="0" fontId="6" fillId="0" borderId="31" xfId="0" applyFont="1" applyBorder="1"/>
    <xf numFmtId="0" fontId="3" fillId="8" borderId="32" xfId="0" applyFont="1" applyFill="1" applyBorder="1" applyAlignment="1">
      <alignment vertical="top" wrapText="1"/>
    </xf>
    <xf numFmtId="0" fontId="6" fillId="0" borderId="33" xfId="0" applyFont="1" applyBorder="1"/>
    <xf numFmtId="0" fontId="6" fillId="0" borderId="34" xfId="0" applyFont="1" applyBorder="1"/>
    <xf numFmtId="0" fontId="45" fillId="10" borderId="9" xfId="0" applyFont="1" applyFill="1" applyBorder="1" applyAlignment="1">
      <alignment wrapText="1"/>
    </xf>
    <xf numFmtId="0" fontId="47" fillId="0" borderId="25" xfId="0" applyFont="1" applyBorder="1" applyAlignment="1">
      <alignment horizontal="center" vertical="center"/>
    </xf>
    <xf numFmtId="0" fontId="26" fillId="16" borderId="25" xfId="0" applyFont="1" applyFill="1" applyBorder="1" applyAlignment="1">
      <alignment vertical="top" wrapText="1"/>
    </xf>
    <xf numFmtId="0" fontId="48" fillId="0" borderId="25" xfId="0" applyFont="1" applyBorder="1" applyAlignment="1">
      <alignment horizontal="center" vertical="center"/>
    </xf>
    <xf numFmtId="0" fontId="26" fillId="16" borderId="32" xfId="0" applyFont="1" applyFill="1" applyBorder="1" applyAlignment="1">
      <alignment vertical="top" wrapText="1"/>
    </xf>
    <xf numFmtId="0" fontId="26" fillId="0" borderId="25" xfId="0" applyFont="1" applyBorder="1" applyAlignment="1">
      <alignment horizontal="center" vertical="center"/>
    </xf>
    <xf numFmtId="0" fontId="50" fillId="0" borderId="0" xfId="0" applyFont="1"/>
    <xf numFmtId="0" fontId="51" fillId="0" borderId="0" xfId="0" applyFont="1" applyAlignment="1">
      <alignment horizontal="center"/>
    </xf>
    <xf numFmtId="0" fontId="49" fillId="10" borderId="0" xfId="0" applyFont="1" applyFill="1" applyAlignment="1">
      <alignment wrapText="1"/>
    </xf>
    <xf numFmtId="0" fontId="46" fillId="10" borderId="0" xfId="0" applyFont="1" applyFill="1" applyAlignment="1">
      <alignment wrapText="1"/>
    </xf>
    <xf numFmtId="0" fontId="8" fillId="15" borderId="7" xfId="0" applyFont="1" applyFill="1" applyBorder="1" applyAlignment="1">
      <alignment wrapText="1"/>
    </xf>
    <xf numFmtId="0" fontId="34" fillId="10" borderId="7" xfId="0" applyFont="1" applyFill="1" applyBorder="1" applyAlignment="1">
      <alignment wrapText="1"/>
    </xf>
    <xf numFmtId="0" fontId="3" fillId="16" borderId="32" xfId="0" applyFont="1" applyFill="1" applyBorder="1" applyAlignment="1">
      <alignment vertical="top" wrapText="1"/>
    </xf>
    <xf numFmtId="0" fontId="53" fillId="0" borderId="0" xfId="0" applyFont="1" applyAlignment="1">
      <alignment horizontal="center" vertical="center"/>
    </xf>
    <xf numFmtId="0" fontId="34" fillId="10" borderId="7" xfId="0" applyFont="1" applyFill="1" applyBorder="1" applyAlignment="1">
      <alignment vertical="center" wrapText="1"/>
    </xf>
    <xf numFmtId="0" fontId="3" fillId="16" borderId="37" xfId="0" applyFont="1" applyFill="1" applyBorder="1" applyAlignment="1">
      <alignment vertical="top" wrapText="1"/>
    </xf>
    <xf numFmtId="0" fontId="6" fillId="0" borderId="38" xfId="0" applyFont="1" applyBorder="1"/>
    <xf numFmtId="0" fontId="6" fillId="0" borderId="39" xfId="0" applyFont="1" applyBorder="1"/>
    <xf numFmtId="0" fontId="6" fillId="0" borderId="40" xfId="0" applyFont="1" applyBorder="1"/>
    <xf numFmtId="0" fontId="6" fillId="0" borderId="36" xfId="0" applyFont="1" applyBorder="1"/>
    <xf numFmtId="0" fontId="6" fillId="0" borderId="41" xfId="0" applyFont="1" applyBorder="1"/>
    <xf numFmtId="0" fontId="6" fillId="0" borderId="35" xfId="0" applyFont="1" applyBorder="1"/>
    <xf numFmtId="0" fontId="6" fillId="0" borderId="42" xfId="0" applyFont="1" applyBorder="1"/>
    <xf numFmtId="0" fontId="26" fillId="13" borderId="0" xfId="0" applyFont="1" applyFill="1" applyAlignment="1">
      <alignment horizontal="left" vertical="top" wrapText="1"/>
    </xf>
    <xf numFmtId="0" fontId="3" fillId="13" borderId="0" xfId="0" applyFont="1" applyFill="1" applyAlignment="1">
      <alignment vertical="top" wrapText="1"/>
    </xf>
    <xf numFmtId="0" fontId="52" fillId="0" borderId="0" xfId="0" applyFont="1" applyAlignment="1">
      <alignment horizontal="center" vertical="center"/>
    </xf>
    <xf numFmtId="0" fontId="3" fillId="16" borderId="19" xfId="0" applyFont="1" applyFill="1" applyBorder="1" applyAlignment="1">
      <alignment vertical="top" wrapText="1"/>
    </xf>
    <xf numFmtId="0" fontId="8" fillId="15" borderId="7" xfId="0" applyFont="1" applyFill="1" applyBorder="1" applyAlignment="1">
      <alignment vertical="top" wrapText="1"/>
    </xf>
    <xf numFmtId="0" fontId="8" fillId="15" borderId="0" xfId="0" applyFont="1" applyFill="1" applyAlignment="1">
      <alignment vertical="top" wrapText="1"/>
    </xf>
    <xf numFmtId="0" fontId="26" fillId="8" borderId="43" xfId="0" applyFont="1" applyFill="1" applyBorder="1" applyAlignment="1">
      <alignment vertical="top" wrapText="1"/>
    </xf>
    <xf numFmtId="0" fontId="27" fillId="10" borderId="7" xfId="0" applyFont="1" applyFill="1" applyBorder="1" applyAlignment="1">
      <alignment wrapText="1"/>
    </xf>
    <xf numFmtId="0" fontId="54" fillId="12" borderId="0" xfId="0" applyFont="1" applyFill="1" applyAlignment="1">
      <alignment horizontal="center" vertical="center" wrapText="1"/>
    </xf>
    <xf numFmtId="0" fontId="55" fillId="12" borderId="0" xfId="0" applyFont="1" applyFill="1" applyAlignment="1">
      <alignment horizontal="center" vertical="center" wrapText="1"/>
    </xf>
    <xf numFmtId="0" fontId="3" fillId="13" borderId="19" xfId="0" applyFont="1" applyFill="1" applyBorder="1" applyAlignment="1">
      <alignment horizontal="left" vertical="top" wrapText="1"/>
    </xf>
    <xf numFmtId="0" fontId="3" fillId="13" borderId="44" xfId="0" applyFont="1" applyFill="1" applyBorder="1" applyAlignment="1">
      <alignment vertical="top" wrapText="1"/>
    </xf>
    <xf numFmtId="0" fontId="6" fillId="0" borderId="45" xfId="0" applyFont="1" applyBorder="1"/>
    <xf numFmtId="0" fontId="6" fillId="0" borderId="43" xfId="0" applyFont="1" applyBorder="1"/>
    <xf numFmtId="0" fontId="6" fillId="0" borderId="46" xfId="0" applyFont="1" applyBorder="1"/>
    <xf numFmtId="0" fontId="6" fillId="0" borderId="24" xfId="0" applyFont="1" applyBorder="1"/>
    <xf numFmtId="0" fontId="46" fillId="10" borderId="7" xfId="0" applyFont="1" applyFill="1" applyBorder="1" applyAlignment="1">
      <alignment wrapText="1"/>
    </xf>
    <xf numFmtId="0" fontId="27" fillId="15" borderId="0" xfId="0" applyFont="1" applyFill="1" applyAlignment="1">
      <alignment vertical="top" wrapText="1"/>
    </xf>
    <xf numFmtId="0" fontId="8" fillId="0" borderId="0" xfId="0" applyFont="1" applyAlignment="1">
      <alignment vertical="top" wrapText="1"/>
    </xf>
    <xf numFmtId="0" fontId="8" fillId="10" borderId="0" xfId="0" applyFont="1" applyFill="1" applyAlignment="1">
      <alignment vertical="top" wrapText="1"/>
    </xf>
    <xf numFmtId="0" fontId="34" fillId="0" borderId="0" xfId="0" applyFont="1"/>
    <xf numFmtId="0" fontId="27" fillId="15" borderId="9" xfId="0" applyFont="1" applyFill="1" applyBorder="1" applyAlignment="1">
      <alignment vertical="top" wrapText="1"/>
    </xf>
    <xf numFmtId="0" fontId="3" fillId="12" borderId="47" xfId="0" applyFont="1" applyFill="1" applyBorder="1" applyAlignment="1">
      <alignment vertical="top" wrapText="1"/>
    </xf>
    <xf numFmtId="0" fontId="6" fillId="0" borderId="49" xfId="0" applyFont="1" applyBorder="1"/>
    <xf numFmtId="0" fontId="6" fillId="0" borderId="48" xfId="0" applyFont="1" applyBorder="1"/>
    <xf numFmtId="0" fontId="26" fillId="8" borderId="19" xfId="0" applyFont="1" applyFill="1" applyBorder="1" applyAlignment="1">
      <alignment vertical="top" wrapText="1"/>
    </xf>
    <xf numFmtId="0" fontId="45" fillId="10" borderId="7" xfId="0" applyFont="1" applyFill="1" applyBorder="1" applyAlignment="1">
      <alignment wrapText="1"/>
    </xf>
    <xf numFmtId="0" fontId="61" fillId="10" borderId="7" xfId="0" applyFont="1" applyFill="1" applyBorder="1" applyAlignment="1">
      <alignment horizontal="left"/>
    </xf>
    <xf numFmtId="0" fontId="45" fillId="10" borderId="0" xfId="0" applyFont="1" applyFill="1" applyAlignment="1">
      <alignment wrapText="1"/>
    </xf>
    <xf numFmtId="0" fontId="62" fillId="10" borderId="9" xfId="0" applyFont="1" applyFill="1" applyBorder="1" applyAlignment="1">
      <alignment horizontal="left" wrapText="1"/>
    </xf>
    <xf numFmtId="0" fontId="63" fillId="10" borderId="7" xfId="0" applyFont="1" applyFill="1" applyBorder="1" applyAlignment="1">
      <alignment wrapText="1"/>
    </xf>
    <xf numFmtId="0" fontId="37" fillId="0" borderId="0" xfId="0" applyFont="1"/>
    <xf numFmtId="0" fontId="26" fillId="8" borderId="24" xfId="0" applyFont="1" applyFill="1" applyBorder="1" applyAlignment="1">
      <alignment vertical="top" wrapText="1"/>
    </xf>
    <xf numFmtId="0" fontId="46" fillId="0" borderId="35" xfId="0" applyFont="1" applyBorder="1"/>
    <xf numFmtId="0" fontId="26" fillId="17" borderId="0" xfId="0" applyFont="1" applyFill="1" applyAlignment="1">
      <alignment vertical="top" wrapText="1"/>
    </xf>
    <xf numFmtId="0" fontId="26" fillId="12" borderId="25" xfId="0" applyFont="1" applyFill="1" applyBorder="1" applyAlignment="1">
      <alignment vertical="top" wrapText="1"/>
    </xf>
    <xf numFmtId="0" fontId="26" fillId="8" borderId="0" xfId="0" applyFont="1" applyFill="1" applyAlignment="1">
      <alignment vertical="top" wrapText="1"/>
    </xf>
    <xf numFmtId="0" fontId="26" fillId="0" borderId="25" xfId="0" applyFont="1" applyBorder="1" applyAlignment="1">
      <alignment vertical="top" wrapText="1"/>
    </xf>
    <xf numFmtId="0" fontId="46" fillId="0" borderId="0" xfId="0" applyFont="1"/>
    <xf numFmtId="0" fontId="26" fillId="17" borderId="37" xfId="0" applyFont="1" applyFill="1" applyBorder="1" applyAlignment="1">
      <alignment vertical="top" wrapText="1"/>
    </xf>
    <xf numFmtId="0" fontId="46" fillId="10" borderId="10" xfId="0" applyFont="1" applyFill="1" applyBorder="1" applyAlignment="1">
      <alignment wrapText="1"/>
    </xf>
    <xf numFmtId="0" fontId="26" fillId="8" borderId="24" xfId="0" applyFont="1" applyFill="1" applyBorder="1" applyAlignment="1">
      <alignment vertical="top"/>
    </xf>
    <xf numFmtId="0" fontId="64" fillId="0" borderId="0" xfId="0" applyFont="1" applyAlignment="1">
      <alignment horizontal="right" vertical="top"/>
    </xf>
    <xf numFmtId="0" fontId="47" fillId="0" borderId="25" xfId="0" applyFont="1" applyBorder="1" applyAlignment="1">
      <alignment horizontal="center"/>
    </xf>
    <xf numFmtId="0" fontId="10" fillId="10" borderId="7" xfId="0" applyFont="1" applyFill="1" applyBorder="1" applyAlignment="1">
      <alignment horizontal="left" vertical="center" wrapText="1"/>
    </xf>
    <xf numFmtId="0" fontId="66" fillId="10" borderId="0" xfId="0" applyFont="1" applyFill="1" applyAlignment="1">
      <alignment wrapText="1"/>
    </xf>
    <xf numFmtId="0" fontId="26" fillId="12" borderId="44" xfId="0" applyFont="1" applyFill="1" applyBorder="1" applyAlignment="1">
      <alignment vertical="top" wrapText="1"/>
    </xf>
    <xf numFmtId="0" fontId="6" fillId="0" borderId="50" xfId="0" applyFont="1" applyBorder="1"/>
    <xf numFmtId="0" fontId="67" fillId="10" borderId="0" xfId="0" applyFont="1" applyFill="1" applyAlignment="1">
      <alignment horizontal="left" wrapText="1"/>
    </xf>
    <xf numFmtId="0" fontId="69" fillId="10" borderId="0" xfId="0" applyFont="1" applyFill="1" applyAlignment="1">
      <alignment wrapText="1"/>
    </xf>
    <xf numFmtId="0" fontId="26" fillId="16" borderId="36" xfId="0" applyFont="1" applyFill="1" applyBorder="1" applyAlignment="1">
      <alignment vertical="top" wrapText="1"/>
    </xf>
    <xf numFmtId="0" fontId="26" fillId="17" borderId="25" xfId="0" applyFont="1" applyFill="1" applyBorder="1" applyAlignment="1">
      <alignment vertical="top" wrapText="1"/>
    </xf>
    <xf numFmtId="0" fontId="26" fillId="0" borderId="25" xfId="0" applyFont="1" applyBorder="1" applyAlignment="1">
      <alignment horizontal="center"/>
    </xf>
    <xf numFmtId="0" fontId="26" fillId="13" borderId="44" xfId="0" applyFont="1" applyFill="1" applyBorder="1" applyAlignment="1">
      <alignment vertical="top" wrapText="1"/>
    </xf>
    <xf numFmtId="0" fontId="46" fillId="0" borderId="24" xfId="0" applyFont="1" applyBorder="1" applyAlignment="1">
      <alignment wrapText="1"/>
    </xf>
    <xf numFmtId="0" fontId="48" fillId="0" borderId="25" xfId="0" applyFont="1" applyBorder="1" applyAlignment="1">
      <alignment horizontal="center"/>
    </xf>
    <xf numFmtId="0" fontId="26" fillId="12" borderId="0" xfId="0" applyFont="1" applyFill="1" applyAlignment="1">
      <alignment vertical="top" wrapText="1"/>
    </xf>
    <xf numFmtId="0" fontId="70" fillId="10" borderId="9" xfId="0" applyFont="1" applyFill="1" applyBorder="1" applyAlignment="1">
      <alignment wrapText="1"/>
    </xf>
    <xf numFmtId="0" fontId="26" fillId="12" borderId="43" xfId="0" applyFont="1" applyFill="1" applyBorder="1" applyAlignment="1">
      <alignment vertical="top" wrapText="1"/>
    </xf>
    <xf numFmtId="0" fontId="26" fillId="16" borderId="39" xfId="0" applyFont="1" applyFill="1" applyBorder="1" applyAlignment="1">
      <alignment vertical="top" wrapText="1"/>
    </xf>
    <xf numFmtId="0" fontId="26" fillId="17" borderId="43" xfId="0" applyFont="1" applyFill="1" applyBorder="1" applyAlignment="1">
      <alignment vertical="top" wrapText="1"/>
    </xf>
    <xf numFmtId="0" fontId="71" fillId="10" borderId="9" xfId="0" applyFont="1" applyFill="1" applyBorder="1" applyAlignment="1">
      <alignment wrapText="1"/>
    </xf>
    <xf numFmtId="0" fontId="74" fillId="10" borderId="9" xfId="0" applyFont="1" applyFill="1" applyBorder="1" applyAlignment="1">
      <alignment wrapText="1"/>
    </xf>
    <xf numFmtId="0" fontId="75" fillId="0" borderId="0" xfId="0" applyFont="1" applyAlignment="1">
      <alignment horizontal="right"/>
    </xf>
  </cellXfs>
  <cellStyles count="1">
    <cellStyle name="Normal" xfId="0" builtinId="0"/>
  </cellStyles>
  <dxfs count="35">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476250</xdr:colOff>
      <xdr:row>13</xdr:row>
      <xdr:rowOff>133350</xdr:rowOff>
    </xdr:from>
    <xdr:ext cx="428625" cy="304800"/>
    <xdr:sp macro="" textlink="">
      <xdr:nvSpPr>
        <xdr:cNvPr id="3" name="Shape 3">
          <a:extLst>
            <a:ext uri="{FF2B5EF4-FFF2-40B4-BE49-F238E27FC236}">
              <a16:creationId xmlns:a16="http://schemas.microsoft.com/office/drawing/2014/main" id="{00000000-0008-0000-0000-000003000000}"/>
            </a:ext>
          </a:extLst>
        </xdr:cNvPr>
        <xdr:cNvSpPr/>
      </xdr:nvSpPr>
      <xdr:spPr>
        <a:xfrm>
          <a:off x="3671975" y="2398225"/>
          <a:ext cx="776100" cy="537300"/>
        </a:xfrm>
        <a:prstGeom prst="leftArrow">
          <a:avLst>
            <a:gd name="adj1" fmla="val 50000"/>
            <a:gd name="adj2" fmla="val 50000"/>
          </a:avLst>
        </a:prstGeom>
        <a:solidFill>
          <a:srgbClr val="B86046"/>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clientData fLocksWithSheet="0"/>
  </xdr:oneCellAnchor>
  <xdr:oneCellAnchor>
    <xdr:from>
      <xdr:col>0</xdr:col>
      <xdr:colOff>47625</xdr:colOff>
      <xdr:row>0</xdr:row>
      <xdr:rowOff>76200</xdr:rowOff>
    </xdr:from>
    <xdr:ext cx="295275" cy="21907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200025</xdr:colOff>
      <xdr:row>15</xdr:row>
      <xdr:rowOff>38100</xdr:rowOff>
    </xdr:from>
    <xdr:ext cx="3886200" cy="962025"/>
    <xdr:pic>
      <xdr:nvPicPr>
        <xdr:cNvPr id="4" name="image5.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13</xdr:row>
      <xdr:rowOff>57150</xdr:rowOff>
    </xdr:from>
    <xdr:ext cx="1981200" cy="914400"/>
    <xdr:pic>
      <xdr:nvPicPr>
        <xdr:cNvPr id="5" name="image3.png" title="Image">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104775</xdr:colOff>
      <xdr:row>8</xdr:row>
      <xdr:rowOff>47625</xdr:rowOff>
    </xdr:from>
    <xdr:ext cx="4429125" cy="1047750"/>
    <xdr:pic>
      <xdr:nvPicPr>
        <xdr:cNvPr id="6" name="image6.png" title="Image">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123825</xdr:colOff>
      <xdr:row>19</xdr:row>
      <xdr:rowOff>95250</xdr:rowOff>
    </xdr:from>
    <xdr:ext cx="4667250" cy="2219325"/>
    <xdr:pic>
      <xdr:nvPicPr>
        <xdr:cNvPr id="7" name="image7.png" title="Image">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85725</xdr:colOff>
      <xdr:row>0</xdr:row>
      <xdr:rowOff>104775</xdr:rowOff>
    </xdr:from>
    <xdr:ext cx="381000" cy="276225"/>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47625</xdr:colOff>
      <xdr:row>0</xdr:row>
      <xdr:rowOff>76200</xdr:rowOff>
    </xdr:from>
    <xdr:ext cx="295275" cy="219075"/>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47625</xdr:colOff>
      <xdr:row>0</xdr:row>
      <xdr:rowOff>76200</xdr:rowOff>
    </xdr:from>
    <xdr:ext cx="295275" cy="219075"/>
    <xdr:pic>
      <xdr:nvPicPr>
        <xdr:cNvPr id="2" name="image1.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47625</xdr:colOff>
      <xdr:row>0</xdr:row>
      <xdr:rowOff>76200</xdr:rowOff>
    </xdr:from>
    <xdr:ext cx="295275" cy="219075"/>
    <xdr:pic>
      <xdr:nvPicPr>
        <xdr:cNvPr id="2" name="image1.png" title="Imag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47625</xdr:colOff>
      <xdr:row>0</xdr:row>
      <xdr:rowOff>76200</xdr:rowOff>
    </xdr:from>
    <xdr:ext cx="295275" cy="219075"/>
    <xdr:pic>
      <xdr:nvPicPr>
        <xdr:cNvPr id="2" name="image1.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47625</xdr:colOff>
      <xdr:row>0</xdr:row>
      <xdr:rowOff>76200</xdr:rowOff>
    </xdr:from>
    <xdr:ext cx="295275" cy="219075"/>
    <xdr:pic>
      <xdr:nvPicPr>
        <xdr:cNvPr id="2" name="image1.png" title="Image">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47625</xdr:colOff>
      <xdr:row>0</xdr:row>
      <xdr:rowOff>76200</xdr:rowOff>
    </xdr:from>
    <xdr:ext cx="295275" cy="219075"/>
    <xdr:pic>
      <xdr:nvPicPr>
        <xdr:cNvPr id="2" name="image4.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47625</xdr:colOff>
      <xdr:row>0</xdr:row>
      <xdr:rowOff>76200</xdr:rowOff>
    </xdr:from>
    <xdr:ext cx="295275" cy="219075"/>
    <xdr:pic>
      <xdr:nvPicPr>
        <xdr:cNvPr id="2" name="image1.png" title="Image">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47625</xdr:colOff>
      <xdr:row>0</xdr:row>
      <xdr:rowOff>76200</xdr:rowOff>
    </xdr:from>
    <xdr:ext cx="295275" cy="219075"/>
    <xdr:pic>
      <xdr:nvPicPr>
        <xdr:cNvPr id="2" name="image1.png" title="Image">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47625</xdr:colOff>
      <xdr:row>0</xdr:row>
      <xdr:rowOff>76200</xdr:rowOff>
    </xdr:from>
    <xdr:ext cx="295275" cy="219075"/>
    <xdr:pic>
      <xdr:nvPicPr>
        <xdr:cNvPr id="2" name="image1.png" title="Image">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47625</xdr:colOff>
      <xdr:row>0</xdr:row>
      <xdr:rowOff>76200</xdr:rowOff>
    </xdr:from>
    <xdr:ext cx="295275" cy="219075"/>
    <xdr:pic>
      <xdr:nvPicPr>
        <xdr:cNvPr id="2" name="image1.png" title="Image">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0</xdr:col>
      <xdr:colOff>47625</xdr:colOff>
      <xdr:row>0</xdr:row>
      <xdr:rowOff>76200</xdr:rowOff>
    </xdr:from>
    <xdr:ext cx="295275" cy="219075"/>
    <xdr:pic>
      <xdr:nvPicPr>
        <xdr:cNvPr id="2" name="image1.png" title="Image">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0</xdr:col>
      <xdr:colOff>47625</xdr:colOff>
      <xdr:row>0</xdr:row>
      <xdr:rowOff>76200</xdr:rowOff>
    </xdr:from>
    <xdr:ext cx="295275" cy="219075"/>
    <xdr:pic>
      <xdr:nvPicPr>
        <xdr:cNvPr id="2" name="image1.png" title="Image">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0</xdr:col>
      <xdr:colOff>47625</xdr:colOff>
      <xdr:row>0</xdr:row>
      <xdr:rowOff>76200</xdr:rowOff>
    </xdr:from>
    <xdr:ext cx="295275" cy="219075"/>
    <xdr:pic>
      <xdr:nvPicPr>
        <xdr:cNvPr id="2" name="image1.png" title="Image">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0</xdr:col>
      <xdr:colOff>47625</xdr:colOff>
      <xdr:row>0</xdr:row>
      <xdr:rowOff>76200</xdr:rowOff>
    </xdr:from>
    <xdr:ext cx="295275" cy="219075"/>
    <xdr:pic>
      <xdr:nvPicPr>
        <xdr:cNvPr id="2" name="image1.png" title="Image">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0</xdr:col>
      <xdr:colOff>47625</xdr:colOff>
      <xdr:row>0</xdr:row>
      <xdr:rowOff>76200</xdr:rowOff>
    </xdr:from>
    <xdr:ext cx="295275" cy="219075"/>
    <xdr:pic>
      <xdr:nvPicPr>
        <xdr:cNvPr id="2" name="image1.png" title="Image">
          <a:extLst>
            <a:ext uri="{FF2B5EF4-FFF2-40B4-BE49-F238E27FC236}">
              <a16:creationId xmlns:a16="http://schemas.microsoft.com/office/drawing/2014/main" id="{00000000-0008-0000-1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dr:oneCellAnchor>
    <xdr:from>
      <xdr:col>0</xdr:col>
      <xdr:colOff>47625</xdr:colOff>
      <xdr:row>0</xdr:row>
      <xdr:rowOff>76200</xdr:rowOff>
    </xdr:from>
    <xdr:ext cx="295275" cy="219075"/>
    <xdr:pic>
      <xdr:nvPicPr>
        <xdr:cNvPr id="2" name="image1.png" title="Image">
          <a:extLst>
            <a:ext uri="{FF2B5EF4-FFF2-40B4-BE49-F238E27FC236}">
              <a16:creationId xmlns:a16="http://schemas.microsoft.com/office/drawing/2014/main" id="{00000000-0008-0000-1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dr:oneCellAnchor>
    <xdr:from>
      <xdr:col>0</xdr:col>
      <xdr:colOff>47625</xdr:colOff>
      <xdr:row>0</xdr:row>
      <xdr:rowOff>76200</xdr:rowOff>
    </xdr:from>
    <xdr:ext cx="295275" cy="219075"/>
    <xdr:pic>
      <xdr:nvPicPr>
        <xdr:cNvPr id="2" name="image1.png" title="Image">
          <a:extLst>
            <a:ext uri="{FF2B5EF4-FFF2-40B4-BE49-F238E27FC236}">
              <a16:creationId xmlns:a16="http://schemas.microsoft.com/office/drawing/2014/main" id="{00000000-0008-0000-1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dr:oneCellAnchor>
    <xdr:from>
      <xdr:col>0</xdr:col>
      <xdr:colOff>47625</xdr:colOff>
      <xdr:row>0</xdr:row>
      <xdr:rowOff>76200</xdr:rowOff>
    </xdr:from>
    <xdr:ext cx="295275" cy="219075"/>
    <xdr:pic>
      <xdr:nvPicPr>
        <xdr:cNvPr id="2" name="image1.png" title="Image">
          <a:extLst>
            <a:ext uri="{FF2B5EF4-FFF2-40B4-BE49-F238E27FC236}">
              <a16:creationId xmlns:a16="http://schemas.microsoft.com/office/drawing/2014/main" id="{00000000-0008-0000-1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dr:oneCellAnchor>
    <xdr:from>
      <xdr:col>0</xdr:col>
      <xdr:colOff>47625</xdr:colOff>
      <xdr:row>0</xdr:row>
      <xdr:rowOff>76200</xdr:rowOff>
    </xdr:from>
    <xdr:ext cx="295275" cy="219075"/>
    <xdr:pic>
      <xdr:nvPicPr>
        <xdr:cNvPr id="2" name="image1.png" title="Image">
          <a:extLst>
            <a:ext uri="{FF2B5EF4-FFF2-40B4-BE49-F238E27FC236}">
              <a16:creationId xmlns:a16="http://schemas.microsoft.com/office/drawing/2014/main" id="{00000000-0008-0000-1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dr:oneCellAnchor>
    <xdr:from>
      <xdr:col>0</xdr:col>
      <xdr:colOff>47625</xdr:colOff>
      <xdr:row>0</xdr:row>
      <xdr:rowOff>76200</xdr:rowOff>
    </xdr:from>
    <xdr:ext cx="295275" cy="219075"/>
    <xdr:pic>
      <xdr:nvPicPr>
        <xdr:cNvPr id="2" name="image1.png" title="Image">
          <a:extLst>
            <a:ext uri="{FF2B5EF4-FFF2-40B4-BE49-F238E27FC236}">
              <a16:creationId xmlns:a16="http://schemas.microsoft.com/office/drawing/2014/main" id="{00000000-0008-0000-1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dr:oneCellAnchor>
    <xdr:from>
      <xdr:col>0</xdr:col>
      <xdr:colOff>47625</xdr:colOff>
      <xdr:row>0</xdr:row>
      <xdr:rowOff>76200</xdr:rowOff>
    </xdr:from>
    <xdr:ext cx="295275" cy="219075"/>
    <xdr:pic>
      <xdr:nvPicPr>
        <xdr:cNvPr id="2" name="image1.png" title="Image">
          <a:extLst>
            <a:ext uri="{FF2B5EF4-FFF2-40B4-BE49-F238E27FC236}">
              <a16:creationId xmlns:a16="http://schemas.microsoft.com/office/drawing/2014/main" id="{00000000-0008-0000-1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dr:oneCellAnchor>
    <xdr:from>
      <xdr:col>0</xdr:col>
      <xdr:colOff>47625</xdr:colOff>
      <xdr:row>0</xdr:row>
      <xdr:rowOff>76200</xdr:rowOff>
    </xdr:from>
    <xdr:ext cx="295275" cy="219075"/>
    <xdr:pic>
      <xdr:nvPicPr>
        <xdr:cNvPr id="2" name="image1.png" title="Image">
          <a:extLst>
            <a:ext uri="{FF2B5EF4-FFF2-40B4-BE49-F238E27FC236}">
              <a16:creationId xmlns:a16="http://schemas.microsoft.com/office/drawing/2014/main" id="{00000000-0008-0000-1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dr:oneCellAnchor>
    <xdr:from>
      <xdr:col>0</xdr:col>
      <xdr:colOff>47625</xdr:colOff>
      <xdr:row>0</xdr:row>
      <xdr:rowOff>76200</xdr:rowOff>
    </xdr:from>
    <xdr:ext cx="295275" cy="219075"/>
    <xdr:pic>
      <xdr:nvPicPr>
        <xdr:cNvPr id="2" name="image1.png" title="Image">
          <a:extLst>
            <a:ext uri="{FF2B5EF4-FFF2-40B4-BE49-F238E27FC236}">
              <a16:creationId xmlns:a16="http://schemas.microsoft.com/office/drawing/2014/main" id="{00000000-0008-0000-1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dr:oneCellAnchor>
    <xdr:from>
      <xdr:col>0</xdr:col>
      <xdr:colOff>47625</xdr:colOff>
      <xdr:row>0</xdr:row>
      <xdr:rowOff>76200</xdr:rowOff>
    </xdr:from>
    <xdr:ext cx="295275" cy="219075"/>
    <xdr:pic>
      <xdr:nvPicPr>
        <xdr:cNvPr id="2" name="image1.png" title="Image">
          <a:extLst>
            <a:ext uri="{FF2B5EF4-FFF2-40B4-BE49-F238E27FC236}">
              <a16:creationId xmlns:a16="http://schemas.microsoft.com/office/drawing/2014/main" id="{00000000-0008-0000-1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anthropic.com/claude/reference/getting-started-with-the-api" TargetMode="External"/><Relationship Id="rId2" Type="http://schemas.openxmlformats.org/officeDocument/2006/relationships/hyperlink" Target="https://workspace.google.com/marketplace/app/claude_for_sheets/909417792257" TargetMode="External"/><Relationship Id="rId1" Type="http://schemas.openxmlformats.org/officeDocument/2006/relationships/hyperlink" Target="https://console.anthropic.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docs.google.com/spreadsheets/d/1jIxjzUWG-6xBVIa2ay6yDpLyeuOh_hR_ZB75a47KX_E/edit?usp=sharing"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ocs.anthropic.com/claude/docs/how-to-use-system-prompts" TargetMode="External"/><Relationship Id="rId2" Type="http://schemas.openxmlformats.org/officeDocument/2006/relationships/hyperlink" Target="https://docs.anthropic.com/claude/docs/using-claude-for-sheets" TargetMode="External"/><Relationship Id="rId1" Type="http://schemas.openxmlformats.org/officeDocument/2006/relationships/hyperlink" Target="https://docs.anthropic.com/claude/docs/using-claude-for-sheets" TargetMode="Externa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docs.anthropic.com/claude/docs/use-xml-tags"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docs.anthropic.com/claude/reference/messages_post" TargetMode="External"/><Relationship Id="rId1" Type="http://schemas.openxmlformats.org/officeDocument/2006/relationships/hyperlink" Target="https://docs.anthropic.com/claude/docs/minimizing-hallucinations" TargetMode="External"/><Relationship Id="rId4"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8" Type="http://schemas.openxmlformats.org/officeDocument/2006/relationships/printerSettings" Target="../printerSettings/printerSettings23.bin"/><Relationship Id="rId3" Type="http://schemas.openxmlformats.org/officeDocument/2006/relationships/hyperlink" Target="https://anthropic.com/prompts" TargetMode="External"/><Relationship Id="rId7" Type="http://schemas.openxmlformats.org/officeDocument/2006/relationships/hyperlink" Target="https://www.promptingguide.ai/papers" TargetMode="External"/><Relationship Id="rId2" Type="http://schemas.openxmlformats.org/officeDocument/2006/relationships/hyperlink" Target="https://docs.anthropic.com/claude/docs/prompt-engineering" TargetMode="External"/><Relationship Id="rId1" Type="http://schemas.openxmlformats.org/officeDocument/2006/relationships/hyperlink" Target="https://anthropic.com/cookbook" TargetMode="External"/><Relationship Id="rId6" Type="http://schemas.openxmlformats.org/officeDocument/2006/relationships/hyperlink" Target="https://docs.anthropic.com/claude/reference/complete_post" TargetMode="External"/><Relationship Id="rId5" Type="http://schemas.openxmlformats.org/officeDocument/2006/relationships/hyperlink" Target="https://anthropic.com/discord" TargetMode="External"/><Relationship Id="rId4" Type="http://schemas.openxmlformats.org/officeDocument/2006/relationships/hyperlink" Target="https://docs.anthropic.com/claude/docs/helper-metaprompt-experimental" TargetMode="External"/><Relationship Id="rId9"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https://docs.anthropic.com/claude/docs/chain-prompts"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hyperlink" Target="https://docs.anthropic.com/claude/docs/functions-external-tools" TargetMode="Externa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6.bin"/><Relationship Id="rId1" Type="http://schemas.openxmlformats.org/officeDocument/2006/relationships/hyperlink" Target="https://github.com/anthropics/anthropic-cookbook/tree/main/third_par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99999"/>
    <outlinePr summaryBelow="0" summaryRight="0"/>
    <pageSetUpPr fitToPage="1"/>
  </sheetPr>
  <dimension ref="A1:I39"/>
  <sheetViews>
    <sheetView showGridLines="0" view="pageBreakPreview" zoomScale="60" zoomScaleNormal="100" workbookViewId="0">
      <selection activeCell="P9" sqref="P9"/>
    </sheetView>
  </sheetViews>
  <sheetFormatPr defaultColWidth="12.5703125" defaultRowHeight="15.75" customHeight="1" x14ac:dyDescent="0.2"/>
  <cols>
    <col min="1" max="1" width="5.42578125" customWidth="1"/>
    <col min="2" max="2" width="1.85546875" customWidth="1"/>
    <col min="3" max="3" width="2.28515625" customWidth="1"/>
    <col min="4" max="4" width="11.5703125" customWidth="1"/>
    <col min="5" max="5" width="19.140625" customWidth="1"/>
    <col min="6" max="6" width="32.42578125" customWidth="1"/>
    <col min="7" max="7" width="5.7109375" customWidth="1"/>
    <col min="8" max="8" width="34.42578125" customWidth="1"/>
    <col min="9" max="9" width="5.42578125" customWidth="1"/>
  </cols>
  <sheetData>
    <row r="1" spans="1:9" ht="32.25" customHeight="1" x14ac:dyDescent="0.4">
      <c r="A1" s="1"/>
      <c r="B1" s="164" t="s">
        <v>0</v>
      </c>
      <c r="C1" s="165"/>
      <c r="D1" s="165"/>
      <c r="E1" s="165"/>
      <c r="F1" s="165"/>
      <c r="G1" s="3"/>
      <c r="H1" s="3"/>
      <c r="I1" s="3"/>
    </row>
    <row r="2" spans="1:9" ht="21.75" customHeight="1" x14ac:dyDescent="0.2"/>
    <row r="3" spans="1:9" ht="49.5" customHeight="1" x14ac:dyDescent="0.25">
      <c r="A3" s="4"/>
      <c r="B3" s="166" t="s">
        <v>1</v>
      </c>
      <c r="C3" s="167"/>
      <c r="D3" s="167"/>
      <c r="E3" s="167"/>
      <c r="F3" s="167"/>
      <c r="G3" s="167"/>
      <c r="H3" s="168"/>
      <c r="I3" s="4"/>
    </row>
    <row r="4" spans="1:9" ht="21.75" customHeight="1" x14ac:dyDescent="0.2"/>
    <row r="5" spans="1:9" ht="20.25" x14ac:dyDescent="0.3">
      <c r="B5" s="5" t="s">
        <v>2</v>
      </c>
      <c r="C5" s="6"/>
      <c r="D5" s="6"/>
      <c r="E5" s="6"/>
      <c r="F5" s="6"/>
      <c r="G5" s="6"/>
      <c r="H5" s="7"/>
    </row>
    <row r="6" spans="1:9" ht="12.75" x14ac:dyDescent="0.2">
      <c r="B6" s="169" t="s">
        <v>3</v>
      </c>
      <c r="C6" s="165"/>
      <c r="D6" s="165"/>
      <c r="E6" s="165"/>
      <c r="F6" s="165"/>
      <c r="G6" s="165"/>
      <c r="H6" s="170"/>
    </row>
    <row r="7" spans="1:9" ht="14.25" x14ac:dyDescent="0.2">
      <c r="B7" s="8"/>
      <c r="C7" s="9"/>
      <c r="D7" s="171" t="s">
        <v>4</v>
      </c>
      <c r="E7" s="165"/>
      <c r="F7" s="165"/>
      <c r="G7" s="165"/>
      <c r="H7" s="170"/>
    </row>
    <row r="8" spans="1:9" ht="14.25" x14ac:dyDescent="0.2">
      <c r="B8" s="8"/>
      <c r="C8" s="9"/>
      <c r="D8" s="172" t="s">
        <v>5</v>
      </c>
      <c r="E8" s="165"/>
      <c r="F8" s="165"/>
      <c r="G8" s="165"/>
      <c r="H8" s="170"/>
    </row>
    <row r="9" spans="1:9" ht="76.5" customHeight="1" x14ac:dyDescent="0.2">
      <c r="B9" s="10"/>
      <c r="C9" s="9"/>
      <c r="D9" s="9"/>
      <c r="E9" s="9"/>
      <c r="F9" s="9"/>
      <c r="G9" s="9"/>
      <c r="H9" s="11"/>
    </row>
    <row r="10" spans="1:9" ht="14.25" x14ac:dyDescent="0.2">
      <c r="B10" s="10"/>
      <c r="C10" s="9"/>
      <c r="D10" s="172"/>
      <c r="E10" s="165"/>
      <c r="F10" s="165"/>
      <c r="G10" s="165"/>
      <c r="H10" s="170"/>
    </row>
    <row r="11" spans="1:9" ht="14.25" x14ac:dyDescent="0.2">
      <c r="B11" s="10" t="s">
        <v>6</v>
      </c>
      <c r="C11" s="9"/>
      <c r="D11" s="9"/>
      <c r="E11" s="9"/>
      <c r="F11" s="9"/>
      <c r="G11" s="9"/>
      <c r="H11" s="11"/>
    </row>
    <row r="12" spans="1:9" ht="14.25" x14ac:dyDescent="0.2">
      <c r="B12" s="8"/>
      <c r="C12" s="9"/>
      <c r="D12" s="172" t="s">
        <v>7</v>
      </c>
      <c r="E12" s="165"/>
      <c r="F12" s="165"/>
      <c r="G12" s="165"/>
      <c r="H12" s="170"/>
    </row>
    <row r="13" spans="1:9" ht="14.25" x14ac:dyDescent="0.2">
      <c r="B13" s="8"/>
      <c r="C13" s="9"/>
      <c r="D13" s="172" t="s">
        <v>8</v>
      </c>
      <c r="E13" s="165"/>
      <c r="F13" s="165"/>
      <c r="G13" s="165"/>
      <c r="H13" s="170"/>
    </row>
    <row r="14" spans="1:9" ht="86.25" customHeight="1" x14ac:dyDescent="0.2">
      <c r="B14" s="8"/>
      <c r="C14" s="9"/>
      <c r="D14" s="9"/>
      <c r="E14" s="9"/>
      <c r="F14" s="9"/>
      <c r="G14" s="9"/>
      <c r="H14" s="11"/>
    </row>
    <row r="15" spans="1:9" ht="14.25" x14ac:dyDescent="0.2">
      <c r="B15" s="8"/>
      <c r="C15" s="9"/>
      <c r="D15" s="172" t="s">
        <v>9</v>
      </c>
      <c r="E15" s="165"/>
      <c r="F15" s="165"/>
      <c r="G15" s="165"/>
      <c r="H15" s="170"/>
    </row>
    <row r="16" spans="1:9" ht="111" customHeight="1" x14ac:dyDescent="0.2">
      <c r="B16" s="8"/>
      <c r="C16" s="9"/>
      <c r="D16" s="9"/>
      <c r="E16" s="9"/>
      <c r="F16" s="9"/>
      <c r="G16" s="9"/>
      <c r="H16" s="11"/>
    </row>
    <row r="17" spans="2:8" ht="15.75" customHeight="1" x14ac:dyDescent="0.2">
      <c r="B17" s="169" t="s">
        <v>10</v>
      </c>
      <c r="C17" s="165"/>
      <c r="D17" s="165"/>
      <c r="E17" s="165"/>
      <c r="F17" s="165"/>
      <c r="G17" s="165"/>
      <c r="H17" s="170"/>
    </row>
    <row r="18" spans="2:8" ht="15.75" customHeight="1" x14ac:dyDescent="0.2">
      <c r="B18" s="8"/>
      <c r="C18" s="9"/>
      <c r="D18" s="176" t="s">
        <v>11</v>
      </c>
      <c r="E18" s="165"/>
      <c r="F18" s="165"/>
      <c r="G18" s="165"/>
      <c r="H18" s="170"/>
    </row>
    <row r="19" spans="2:8" ht="31.5" customHeight="1" x14ac:dyDescent="0.2">
      <c r="B19" s="8"/>
      <c r="C19" s="9"/>
      <c r="D19" s="172" t="s">
        <v>12</v>
      </c>
      <c r="E19" s="165"/>
      <c r="F19" s="165"/>
      <c r="G19" s="165"/>
      <c r="H19" s="170"/>
    </row>
    <row r="20" spans="2:8" ht="94.5" customHeight="1" x14ac:dyDescent="0.2">
      <c r="B20" s="8"/>
      <c r="C20" s="9"/>
      <c r="D20" s="9"/>
      <c r="E20" s="9"/>
      <c r="F20" s="9"/>
      <c r="G20" s="9"/>
      <c r="H20" s="11"/>
    </row>
    <row r="21" spans="2:8" ht="94.5" customHeight="1" x14ac:dyDescent="0.2">
      <c r="B21" s="8"/>
      <c r="C21" s="9"/>
      <c r="D21" s="9"/>
      <c r="E21" s="9"/>
      <c r="F21" s="9"/>
      <c r="G21" s="9"/>
      <c r="H21" s="11"/>
    </row>
    <row r="22" spans="2:8" ht="5.25" customHeight="1" x14ac:dyDescent="0.2">
      <c r="B22" s="12"/>
      <c r="C22" s="13"/>
      <c r="D22" s="13"/>
      <c r="E22" s="13"/>
      <c r="F22" s="13"/>
      <c r="G22" s="13"/>
      <c r="H22" s="14"/>
    </row>
    <row r="23" spans="2:8" ht="21.75" customHeight="1" x14ac:dyDescent="0.2"/>
    <row r="24" spans="2:8" ht="20.25" x14ac:dyDescent="0.3">
      <c r="B24" s="5" t="s">
        <v>13</v>
      </c>
      <c r="C24" s="6"/>
      <c r="D24" s="6"/>
      <c r="E24" s="6"/>
      <c r="F24" s="6"/>
      <c r="G24" s="6"/>
      <c r="H24" s="7"/>
    </row>
    <row r="25" spans="2:8" ht="12.75" x14ac:dyDescent="0.2">
      <c r="B25" s="169" t="s">
        <v>14</v>
      </c>
      <c r="C25" s="165"/>
      <c r="D25" s="165"/>
      <c r="E25" s="165"/>
      <c r="F25" s="165"/>
      <c r="G25" s="165"/>
      <c r="H25" s="170"/>
    </row>
    <row r="26" spans="2:8" ht="16.5" customHeight="1" x14ac:dyDescent="0.2">
      <c r="B26" s="15"/>
      <c r="C26" s="16" t="s">
        <v>15</v>
      </c>
      <c r="H26" s="17"/>
    </row>
    <row r="27" spans="2:8" ht="12.75" x14ac:dyDescent="0.2">
      <c r="B27" s="15"/>
      <c r="C27" s="18" t="s">
        <v>16</v>
      </c>
      <c r="H27" s="17"/>
    </row>
    <row r="28" spans="2:8" ht="11.25" customHeight="1" x14ac:dyDescent="0.2">
      <c r="B28" s="15"/>
      <c r="C28" s="18"/>
      <c r="H28" s="17"/>
    </row>
    <row r="29" spans="2:8" ht="12.75" x14ac:dyDescent="0.2">
      <c r="B29" s="169" t="s">
        <v>17</v>
      </c>
      <c r="C29" s="165"/>
      <c r="D29" s="165"/>
      <c r="E29" s="165"/>
      <c r="F29" s="165"/>
      <c r="G29" s="165"/>
      <c r="H29" s="170"/>
    </row>
    <row r="30" spans="2:8" ht="14.25" x14ac:dyDescent="0.2">
      <c r="B30" s="8"/>
      <c r="C30" s="172" t="s">
        <v>18</v>
      </c>
      <c r="D30" s="165"/>
      <c r="E30" s="165"/>
      <c r="F30" s="165"/>
      <c r="G30" s="165"/>
      <c r="H30" s="170"/>
    </row>
    <row r="31" spans="2:8" ht="14.25" x14ac:dyDescent="0.2">
      <c r="B31" s="15"/>
      <c r="C31" s="173" t="s">
        <v>19</v>
      </c>
      <c r="D31" s="165"/>
      <c r="E31" s="165"/>
      <c r="F31" s="165"/>
      <c r="G31" s="165"/>
      <c r="H31" s="170"/>
    </row>
    <row r="32" spans="2:8" ht="11.25" customHeight="1" x14ac:dyDescent="0.2">
      <c r="B32" s="15"/>
      <c r="H32" s="17"/>
    </row>
    <row r="33" spans="1:9" ht="15" x14ac:dyDescent="0.25">
      <c r="B33" s="174" t="s">
        <v>20</v>
      </c>
      <c r="C33" s="165"/>
      <c r="D33" s="165"/>
      <c r="E33" s="165"/>
      <c r="F33" s="165"/>
      <c r="G33" s="165"/>
      <c r="H33" s="170"/>
    </row>
    <row r="34" spans="1:9" ht="10.5" customHeight="1" x14ac:dyDescent="0.2">
      <c r="B34" s="19"/>
      <c r="C34" s="20"/>
      <c r="D34" s="20"/>
      <c r="E34" s="20"/>
      <c r="F34" s="20"/>
      <c r="G34" s="20"/>
      <c r="H34" s="21"/>
    </row>
    <row r="35" spans="1:9" ht="14.25" x14ac:dyDescent="0.2">
      <c r="B35" s="22" t="s">
        <v>21</v>
      </c>
      <c r="C35" s="23"/>
      <c r="D35" s="23"/>
      <c r="E35" s="23"/>
      <c r="F35" s="23"/>
      <c r="G35" s="23"/>
      <c r="H35" s="24"/>
    </row>
    <row r="37" spans="1:9" ht="21.75" customHeight="1" x14ac:dyDescent="0.2">
      <c r="A37" s="25"/>
      <c r="B37" s="26" t="s">
        <v>22</v>
      </c>
      <c r="C37" s="27"/>
      <c r="D37" s="27"/>
      <c r="E37" s="27" t="s">
        <v>23</v>
      </c>
      <c r="F37" s="28"/>
      <c r="G37" s="29"/>
      <c r="H37" s="30"/>
      <c r="I37" s="25"/>
    </row>
    <row r="38" spans="1:9" ht="14.25" x14ac:dyDescent="0.2">
      <c r="B38" s="31"/>
      <c r="C38" s="31"/>
      <c r="D38" s="31"/>
      <c r="E38" s="31"/>
      <c r="G38" s="32"/>
      <c r="H38" s="32"/>
    </row>
    <row r="39" spans="1:9" ht="14.25" x14ac:dyDescent="0.2">
      <c r="B39" s="31"/>
      <c r="C39" s="31"/>
      <c r="D39" s="31"/>
      <c r="E39" s="31"/>
      <c r="G39" s="175" t="s">
        <v>24</v>
      </c>
      <c r="H39" s="165"/>
    </row>
  </sheetData>
  <mergeCells count="18">
    <mergeCell ref="G39:H39"/>
    <mergeCell ref="D13:H13"/>
    <mergeCell ref="D15:H15"/>
    <mergeCell ref="B17:H17"/>
    <mergeCell ref="D18:H18"/>
    <mergeCell ref="D19:H19"/>
    <mergeCell ref="B25:H25"/>
    <mergeCell ref="B29:H29"/>
    <mergeCell ref="D10:H10"/>
    <mergeCell ref="D12:H12"/>
    <mergeCell ref="C30:H30"/>
    <mergeCell ref="C31:H31"/>
    <mergeCell ref="B33:H33"/>
    <mergeCell ref="B1:F1"/>
    <mergeCell ref="B3:H3"/>
    <mergeCell ref="B6:H6"/>
    <mergeCell ref="D7:H7"/>
    <mergeCell ref="D8:H8"/>
  </mergeCells>
  <hyperlinks>
    <hyperlink ref="B3" r:id="rId1" xr:uid="{00000000-0004-0000-0000-000000000000}"/>
    <hyperlink ref="D7" r:id="rId2" xr:uid="{00000000-0004-0000-0000-000001000000}"/>
    <hyperlink ref="D18" r:id="rId3" xr:uid="{00000000-0004-0000-0000-000002000000}"/>
    <hyperlink ref="G39" location="IntroTitle" display="Introduction &amp; Table of Contents →" xr:uid="{00000000-0004-0000-0000-000003000000}"/>
  </hyperlinks>
  <pageMargins left="0.7" right="0.7" top="0.75" bottom="0.75" header="0.3" footer="0.3"/>
  <pageSetup paperSize="9" scale="75"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48"/>
  <sheetViews>
    <sheetView workbookViewId="0">
      <pane ySplit="2" topLeftCell="A3" activePane="bottomLeft" state="frozen"/>
      <selection pane="bottomLeft" activeCell="B4" sqref="B4"/>
    </sheetView>
  </sheetViews>
  <sheetFormatPr defaultColWidth="12.5703125" defaultRowHeight="15.75" customHeight="1" x14ac:dyDescent="0.2"/>
  <cols>
    <col min="2" max="2" width="150.140625" customWidth="1"/>
  </cols>
  <sheetData>
    <row r="1" spans="1:3" x14ac:dyDescent="0.2">
      <c r="A1" s="18" t="s">
        <v>25</v>
      </c>
      <c r="B1" s="34"/>
      <c r="C1" s="18"/>
    </row>
    <row r="2" spans="1:3" x14ac:dyDescent="0.2">
      <c r="A2" s="18" t="s">
        <v>26</v>
      </c>
      <c r="B2" s="34" t="s">
        <v>27</v>
      </c>
      <c r="C2" s="18" t="s">
        <v>28</v>
      </c>
    </row>
    <row r="3" spans="1:3" x14ac:dyDescent="0.2">
      <c r="A3" s="16" t="s">
        <v>29</v>
      </c>
      <c r="B3" s="35" t="s">
        <v>30</v>
      </c>
      <c r="C3" s="16" t="s">
        <v>31</v>
      </c>
    </row>
    <row r="4" spans="1:3" x14ac:dyDescent="0.2">
      <c r="A4" s="16" t="s">
        <v>32</v>
      </c>
      <c r="B4" s="35" t="s">
        <v>33</v>
      </c>
      <c r="C4" s="16" t="s">
        <v>31</v>
      </c>
    </row>
    <row r="5" spans="1:3" x14ac:dyDescent="0.2">
      <c r="A5" s="16" t="s">
        <v>34</v>
      </c>
      <c r="B5" s="35" t="s">
        <v>35</v>
      </c>
      <c r="C5" s="16" t="s">
        <v>31</v>
      </c>
    </row>
    <row r="6" spans="1:3" x14ac:dyDescent="0.2">
      <c r="A6" s="16" t="s">
        <v>36</v>
      </c>
      <c r="B6" s="35" t="s">
        <v>37</v>
      </c>
      <c r="C6" s="16" t="s">
        <v>31</v>
      </c>
    </row>
    <row r="7" spans="1:3" x14ac:dyDescent="0.2">
      <c r="A7" s="16" t="s">
        <v>38</v>
      </c>
      <c r="B7" s="35" t="s">
        <v>39</v>
      </c>
      <c r="C7" s="16" t="s">
        <v>31</v>
      </c>
    </row>
    <row r="8" spans="1:3" x14ac:dyDescent="0.2">
      <c r="A8" s="16" t="s">
        <v>40</v>
      </c>
      <c r="B8" s="35" t="s">
        <v>41</v>
      </c>
      <c r="C8" s="16" t="s">
        <v>31</v>
      </c>
    </row>
    <row r="9" spans="1:3" x14ac:dyDescent="0.2">
      <c r="A9" s="16" t="s">
        <v>42</v>
      </c>
      <c r="B9" s="35" t="s">
        <v>43</v>
      </c>
      <c r="C9" s="16" t="s">
        <v>31</v>
      </c>
    </row>
    <row r="10" spans="1:3" x14ac:dyDescent="0.2">
      <c r="B10" s="35"/>
    </row>
    <row r="11" spans="1:3" x14ac:dyDescent="0.2">
      <c r="B11" s="35"/>
    </row>
    <row r="12" spans="1:3" x14ac:dyDescent="0.2">
      <c r="B12" s="35"/>
    </row>
    <row r="13" spans="1:3" x14ac:dyDescent="0.2">
      <c r="B13" s="35"/>
    </row>
    <row r="14" spans="1:3" x14ac:dyDescent="0.2">
      <c r="B14" s="35"/>
    </row>
    <row r="15" spans="1:3" x14ac:dyDescent="0.2">
      <c r="B15" s="35"/>
    </row>
    <row r="16" spans="1:3" x14ac:dyDescent="0.2">
      <c r="B16" s="35"/>
    </row>
    <row r="17" spans="2:2" x14ac:dyDescent="0.2">
      <c r="B17" s="35"/>
    </row>
    <row r="18" spans="2:2" x14ac:dyDescent="0.2">
      <c r="B18" s="35"/>
    </row>
    <row r="19" spans="2:2" x14ac:dyDescent="0.2">
      <c r="B19" s="35"/>
    </row>
    <row r="20" spans="2:2" x14ac:dyDescent="0.2">
      <c r="B20" s="35"/>
    </row>
    <row r="21" spans="2:2" x14ac:dyDescent="0.2">
      <c r="B21" s="35"/>
    </row>
    <row r="22" spans="2:2" x14ac:dyDescent="0.2">
      <c r="B22" s="35"/>
    </row>
    <row r="23" spans="2:2" x14ac:dyDescent="0.2">
      <c r="B23" s="35"/>
    </row>
    <row r="24" spans="2:2" x14ac:dyDescent="0.2">
      <c r="B24" s="35"/>
    </row>
    <row r="25" spans="2:2" x14ac:dyDescent="0.2">
      <c r="B25" s="35"/>
    </row>
    <row r="26" spans="2:2" x14ac:dyDescent="0.2">
      <c r="B26" s="35"/>
    </row>
    <row r="27" spans="2:2" x14ac:dyDescent="0.2">
      <c r="B27" s="35"/>
    </row>
    <row r="28" spans="2:2" x14ac:dyDescent="0.2">
      <c r="B28" s="35"/>
    </row>
    <row r="29" spans="2:2" x14ac:dyDescent="0.2">
      <c r="B29" s="35"/>
    </row>
    <row r="30" spans="2:2" x14ac:dyDescent="0.2">
      <c r="B30" s="35"/>
    </row>
    <row r="31" spans="2:2" x14ac:dyDescent="0.2">
      <c r="B31" s="35"/>
    </row>
    <row r="32" spans="2:2" x14ac:dyDescent="0.2">
      <c r="B32" s="35"/>
    </row>
    <row r="33" spans="2:2" x14ac:dyDescent="0.2">
      <c r="B33" s="35"/>
    </row>
    <row r="34" spans="2:2" x14ac:dyDescent="0.2">
      <c r="B34" s="35"/>
    </row>
    <row r="35" spans="2:2" x14ac:dyDescent="0.2">
      <c r="B35" s="35"/>
    </row>
    <row r="36" spans="2:2" x14ac:dyDescent="0.2">
      <c r="B36" s="35"/>
    </row>
    <row r="37" spans="2:2" x14ac:dyDescent="0.2">
      <c r="B37" s="35"/>
    </row>
    <row r="38" spans="2:2" x14ac:dyDescent="0.2">
      <c r="B38" s="35"/>
    </row>
    <row r="39" spans="2:2" x14ac:dyDescent="0.2">
      <c r="B39" s="35"/>
    </row>
    <row r="40" spans="2:2" x14ac:dyDescent="0.2">
      <c r="B40" s="35"/>
    </row>
    <row r="41" spans="2:2" x14ac:dyDescent="0.2">
      <c r="B41" s="35"/>
    </row>
    <row r="42" spans="2:2" x14ac:dyDescent="0.2">
      <c r="B42" s="35"/>
    </row>
    <row r="43" spans="2:2" x14ac:dyDescent="0.2">
      <c r="B43" s="35"/>
    </row>
    <row r="44" spans="2:2" x14ac:dyDescent="0.2">
      <c r="B44" s="35"/>
    </row>
    <row r="45" spans="2:2" x14ac:dyDescent="0.2">
      <c r="B45" s="35"/>
    </row>
    <row r="46" spans="2:2" x14ac:dyDescent="0.2">
      <c r="B46" s="35"/>
    </row>
    <row r="47" spans="2:2" x14ac:dyDescent="0.2">
      <c r="B47" s="35"/>
    </row>
    <row r="48" spans="2:2" x14ac:dyDescent="0.2">
      <c r="B48" s="3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99999"/>
    <outlinePr summaryBelow="0" summaryRight="0"/>
  </sheetPr>
  <dimension ref="A1:I57"/>
  <sheetViews>
    <sheetView showGridLines="0" view="pageBreakPreview" zoomScale="60" zoomScaleNormal="100" workbookViewId="0"/>
  </sheetViews>
  <sheetFormatPr defaultColWidth="12.5703125" defaultRowHeight="15.75" customHeight="1" x14ac:dyDescent="0.2"/>
  <cols>
    <col min="1" max="1" width="7.7109375" customWidth="1"/>
    <col min="2" max="2" width="4.42578125" customWidth="1"/>
    <col min="3" max="3" width="1.140625" customWidth="1"/>
    <col min="4" max="4" width="4" customWidth="1"/>
    <col min="8" max="8" width="76.42578125" customWidth="1"/>
    <col min="9" max="9" width="5.42578125" customWidth="1"/>
  </cols>
  <sheetData>
    <row r="1" spans="1:9" ht="37.5" customHeight="1" x14ac:dyDescent="0.4">
      <c r="A1" s="1"/>
      <c r="B1" s="186" t="s">
        <v>44</v>
      </c>
      <c r="C1" s="165"/>
      <c r="D1" s="165"/>
      <c r="E1" s="165"/>
      <c r="F1" s="165"/>
      <c r="G1" s="165"/>
      <c r="H1" s="165"/>
      <c r="I1" s="3"/>
    </row>
    <row r="2" spans="1:9" ht="21.75" customHeight="1" x14ac:dyDescent="0.2"/>
    <row r="3" spans="1:9" ht="20.25" x14ac:dyDescent="0.3">
      <c r="B3" s="5" t="s">
        <v>45</v>
      </c>
      <c r="C3" s="6"/>
      <c r="D3" s="6"/>
      <c r="E3" s="6"/>
      <c r="F3" s="6"/>
      <c r="G3" s="6"/>
      <c r="H3" s="7"/>
    </row>
    <row r="4" spans="1:9" ht="12.75" x14ac:dyDescent="0.2">
      <c r="B4" s="187" t="s">
        <v>46</v>
      </c>
      <c r="C4" s="188"/>
      <c r="D4" s="188"/>
      <c r="E4" s="188"/>
      <c r="F4" s="188"/>
      <c r="G4" s="188"/>
      <c r="H4" s="189"/>
    </row>
    <row r="5" spans="1:9" ht="21.75" customHeight="1" x14ac:dyDescent="0.2"/>
    <row r="6" spans="1:9" ht="20.25" x14ac:dyDescent="0.3">
      <c r="B6" s="5" t="s">
        <v>47</v>
      </c>
      <c r="C6" s="6"/>
      <c r="D6" s="6"/>
      <c r="E6" s="6"/>
      <c r="F6" s="6"/>
      <c r="G6" s="6"/>
      <c r="H6" s="7"/>
    </row>
    <row r="7" spans="1:9" ht="12.75" x14ac:dyDescent="0.2">
      <c r="B7" s="190" t="s">
        <v>48</v>
      </c>
      <c r="C7" s="165"/>
      <c r="D7" s="165"/>
      <c r="E7" s="165"/>
      <c r="F7" s="165"/>
      <c r="G7" s="165"/>
      <c r="H7" s="170"/>
    </row>
    <row r="8" spans="1:9" ht="16.5" customHeight="1" x14ac:dyDescent="0.2">
      <c r="B8" s="15"/>
      <c r="H8" s="17"/>
    </row>
    <row r="9" spans="1:9" ht="12.75" x14ac:dyDescent="0.2">
      <c r="B9" s="191" t="s">
        <v>49</v>
      </c>
      <c r="C9" s="36"/>
      <c r="D9" s="177" t="s">
        <v>50</v>
      </c>
      <c r="E9" s="178"/>
      <c r="F9" s="178"/>
      <c r="G9" s="178"/>
      <c r="H9" s="179"/>
    </row>
    <row r="10" spans="1:9" ht="12.75" x14ac:dyDescent="0.2">
      <c r="B10" s="182"/>
      <c r="D10" s="18"/>
      <c r="E10" s="192" t="s">
        <v>0</v>
      </c>
      <c r="F10" s="165"/>
      <c r="H10" s="17"/>
    </row>
    <row r="11" spans="1:9" ht="8.25" customHeight="1" x14ac:dyDescent="0.2">
      <c r="B11" s="182"/>
      <c r="D11" s="18"/>
      <c r="H11" s="17"/>
    </row>
    <row r="12" spans="1:9" ht="12.75" x14ac:dyDescent="0.2">
      <c r="B12" s="181" t="s">
        <v>51</v>
      </c>
      <c r="C12" s="36"/>
      <c r="D12" s="177" t="s">
        <v>52</v>
      </c>
      <c r="E12" s="178"/>
      <c r="F12" s="178"/>
      <c r="G12" s="178"/>
      <c r="H12" s="179"/>
    </row>
    <row r="13" spans="1:9" ht="12.75" x14ac:dyDescent="0.2">
      <c r="B13" s="182"/>
      <c r="E13" s="37" t="s">
        <v>53</v>
      </c>
      <c r="H13" s="17"/>
    </row>
    <row r="14" spans="1:9" ht="12.75" x14ac:dyDescent="0.2">
      <c r="B14" s="182"/>
      <c r="E14" s="37" t="s">
        <v>54</v>
      </c>
      <c r="H14" s="17"/>
    </row>
    <row r="15" spans="1:9" ht="8.25" customHeight="1" x14ac:dyDescent="0.2">
      <c r="B15" s="182"/>
      <c r="H15" s="17"/>
    </row>
    <row r="16" spans="1:9" ht="12.75" x14ac:dyDescent="0.2">
      <c r="B16" s="182"/>
      <c r="D16" s="180" t="s">
        <v>55</v>
      </c>
      <c r="E16" s="165"/>
      <c r="F16" s="165"/>
      <c r="G16" s="165"/>
      <c r="H16" s="170"/>
    </row>
    <row r="17" spans="2:8" ht="12.75" x14ac:dyDescent="0.2">
      <c r="B17" s="182"/>
      <c r="E17" s="37" t="s">
        <v>53</v>
      </c>
      <c r="H17" s="17"/>
    </row>
    <row r="18" spans="2:8" ht="12.75" x14ac:dyDescent="0.2">
      <c r="B18" s="182"/>
      <c r="E18" s="37" t="s">
        <v>54</v>
      </c>
      <c r="H18" s="17"/>
    </row>
    <row r="19" spans="2:8" ht="8.25" customHeight="1" x14ac:dyDescent="0.2">
      <c r="B19" s="182"/>
      <c r="H19" s="17"/>
    </row>
    <row r="20" spans="2:8" ht="12.75" x14ac:dyDescent="0.2">
      <c r="B20" s="182"/>
      <c r="D20" s="180" t="s">
        <v>56</v>
      </c>
      <c r="E20" s="165"/>
      <c r="F20" s="165"/>
      <c r="G20" s="165"/>
      <c r="H20" s="170"/>
    </row>
    <row r="21" spans="2:8" ht="12.75" x14ac:dyDescent="0.2">
      <c r="B21" s="182"/>
      <c r="E21" s="37" t="s">
        <v>53</v>
      </c>
      <c r="H21" s="17"/>
    </row>
    <row r="22" spans="2:8" ht="12.75" x14ac:dyDescent="0.2">
      <c r="B22" s="182"/>
      <c r="E22" s="37" t="s">
        <v>54</v>
      </c>
      <c r="H22" s="17"/>
    </row>
    <row r="23" spans="2:8" ht="8.25" customHeight="1" x14ac:dyDescent="0.2">
      <c r="B23" s="182"/>
      <c r="H23" s="17"/>
    </row>
    <row r="24" spans="2:8" ht="12.75" x14ac:dyDescent="0.2">
      <c r="B24" s="183" t="s">
        <v>57</v>
      </c>
      <c r="C24" s="36"/>
      <c r="D24" s="177" t="s">
        <v>58</v>
      </c>
      <c r="E24" s="178"/>
      <c r="F24" s="178"/>
      <c r="G24" s="178"/>
      <c r="H24" s="179"/>
    </row>
    <row r="25" spans="2:8" ht="12.75" x14ac:dyDescent="0.2">
      <c r="B25" s="182"/>
      <c r="E25" s="37" t="s">
        <v>53</v>
      </c>
      <c r="H25" s="17"/>
    </row>
    <row r="26" spans="2:8" ht="12.75" x14ac:dyDescent="0.2">
      <c r="B26" s="182"/>
      <c r="E26" s="37" t="s">
        <v>54</v>
      </c>
      <c r="H26" s="17"/>
    </row>
    <row r="27" spans="2:8" ht="8.25" customHeight="1" x14ac:dyDescent="0.2">
      <c r="B27" s="182"/>
      <c r="H27" s="17"/>
    </row>
    <row r="28" spans="2:8" ht="12.75" x14ac:dyDescent="0.2">
      <c r="B28" s="182"/>
      <c r="D28" s="180" t="s">
        <v>59</v>
      </c>
      <c r="E28" s="165"/>
      <c r="F28" s="165"/>
      <c r="G28" s="165"/>
      <c r="H28" s="170"/>
    </row>
    <row r="29" spans="2:8" ht="12.75" x14ac:dyDescent="0.2">
      <c r="B29" s="182"/>
      <c r="E29" s="37" t="s">
        <v>53</v>
      </c>
      <c r="H29" s="17"/>
    </row>
    <row r="30" spans="2:8" ht="12.75" x14ac:dyDescent="0.2">
      <c r="B30" s="182"/>
      <c r="E30" s="37" t="s">
        <v>54</v>
      </c>
      <c r="H30" s="17"/>
    </row>
    <row r="31" spans="2:8" ht="8.25" customHeight="1" x14ac:dyDescent="0.2">
      <c r="B31" s="182"/>
      <c r="H31" s="17"/>
    </row>
    <row r="32" spans="2:8" ht="12.75" x14ac:dyDescent="0.2">
      <c r="B32" s="182"/>
      <c r="D32" s="180" t="s">
        <v>60</v>
      </c>
      <c r="E32" s="165"/>
      <c r="F32" s="165"/>
      <c r="G32" s="165"/>
      <c r="H32" s="170"/>
    </row>
    <row r="33" spans="2:8" ht="12.75" x14ac:dyDescent="0.2">
      <c r="B33" s="182"/>
      <c r="E33" s="37" t="s">
        <v>53</v>
      </c>
      <c r="H33" s="17"/>
    </row>
    <row r="34" spans="2:8" ht="12.75" x14ac:dyDescent="0.2">
      <c r="B34" s="182"/>
      <c r="E34" s="37" t="s">
        <v>54</v>
      </c>
      <c r="H34" s="17"/>
    </row>
    <row r="35" spans="2:8" ht="8.25" customHeight="1" x14ac:dyDescent="0.2">
      <c r="B35" s="182"/>
      <c r="H35" s="17"/>
    </row>
    <row r="36" spans="2:8" ht="12.75" x14ac:dyDescent="0.2">
      <c r="B36" s="182"/>
      <c r="D36" s="180" t="s">
        <v>61</v>
      </c>
      <c r="E36" s="165"/>
      <c r="F36" s="165"/>
      <c r="G36" s="165"/>
      <c r="H36" s="170"/>
    </row>
    <row r="37" spans="2:8" ht="12.75" x14ac:dyDescent="0.2">
      <c r="B37" s="182"/>
      <c r="E37" s="37" t="s">
        <v>53</v>
      </c>
      <c r="H37" s="17"/>
    </row>
    <row r="38" spans="2:8" ht="12.75" x14ac:dyDescent="0.2">
      <c r="B38" s="182"/>
      <c r="E38" s="37" t="s">
        <v>54</v>
      </c>
      <c r="H38" s="17"/>
    </row>
    <row r="39" spans="2:8" ht="8.25" customHeight="1" x14ac:dyDescent="0.2">
      <c r="B39" s="182"/>
      <c r="H39" s="17"/>
    </row>
    <row r="40" spans="2:8" ht="12.75" x14ac:dyDescent="0.2">
      <c r="B40" s="184" t="s">
        <v>62</v>
      </c>
      <c r="C40" s="36"/>
      <c r="D40" s="177" t="s">
        <v>63</v>
      </c>
      <c r="E40" s="178"/>
      <c r="F40" s="178"/>
      <c r="G40" s="178"/>
      <c r="H40" s="179"/>
    </row>
    <row r="41" spans="2:8" ht="12.75" x14ac:dyDescent="0.2">
      <c r="B41" s="182"/>
      <c r="E41" s="37" t="s">
        <v>53</v>
      </c>
      <c r="H41" s="17"/>
    </row>
    <row r="42" spans="2:8" ht="12.75" x14ac:dyDescent="0.2">
      <c r="B42" s="182"/>
      <c r="E42" s="37" t="s">
        <v>54</v>
      </c>
      <c r="H42" s="17"/>
    </row>
    <row r="43" spans="2:8" ht="8.25" customHeight="1" x14ac:dyDescent="0.2">
      <c r="B43" s="182"/>
      <c r="H43" s="17"/>
    </row>
    <row r="44" spans="2:8" ht="12.75" x14ac:dyDescent="0.2">
      <c r="B44" s="182"/>
      <c r="D44" s="180" t="s">
        <v>64</v>
      </c>
      <c r="E44" s="165"/>
      <c r="F44" s="165"/>
      <c r="G44" s="165"/>
      <c r="H44" s="170"/>
    </row>
    <row r="45" spans="2:8" ht="12.75" x14ac:dyDescent="0.2">
      <c r="B45" s="182"/>
      <c r="E45" s="192" t="s">
        <v>65</v>
      </c>
      <c r="F45" s="165"/>
      <c r="G45" s="165"/>
      <c r="H45" s="170"/>
    </row>
    <row r="46" spans="2:8" ht="12.75" x14ac:dyDescent="0.2">
      <c r="B46" s="182"/>
      <c r="E46" s="192" t="s">
        <v>66</v>
      </c>
      <c r="F46" s="165"/>
      <c r="G46" s="165"/>
      <c r="H46" s="17"/>
    </row>
    <row r="47" spans="2:8" ht="12.75" x14ac:dyDescent="0.2">
      <c r="B47" s="182"/>
      <c r="E47" s="192" t="s">
        <v>67</v>
      </c>
      <c r="F47" s="165"/>
      <c r="G47" s="165"/>
      <c r="H47" s="17"/>
    </row>
    <row r="48" spans="2:8" ht="12.75" x14ac:dyDescent="0.2">
      <c r="B48" s="182"/>
      <c r="E48" s="192" t="s">
        <v>68</v>
      </c>
      <c r="F48" s="165"/>
      <c r="G48" s="165"/>
      <c r="H48" s="17"/>
    </row>
    <row r="49" spans="2:8" ht="12.75" x14ac:dyDescent="0.2">
      <c r="B49" s="182"/>
      <c r="E49" s="192" t="s">
        <v>69</v>
      </c>
      <c r="F49" s="165"/>
      <c r="G49" s="16"/>
      <c r="H49" s="17"/>
    </row>
    <row r="50" spans="2:8" ht="8.25" customHeight="1" x14ac:dyDescent="0.2">
      <c r="B50" s="182"/>
      <c r="H50" s="17"/>
    </row>
    <row r="51" spans="2:8" ht="12.75" x14ac:dyDescent="0.2">
      <c r="B51" s="182"/>
      <c r="D51" s="180" t="s">
        <v>70</v>
      </c>
      <c r="E51" s="165"/>
      <c r="F51" s="165"/>
      <c r="G51" s="165"/>
      <c r="H51" s="170"/>
    </row>
    <row r="52" spans="2:8" ht="12.75" x14ac:dyDescent="0.2">
      <c r="B52" s="182"/>
      <c r="E52" s="192" t="s">
        <v>71</v>
      </c>
      <c r="F52" s="165"/>
      <c r="G52" s="16"/>
      <c r="H52" s="17"/>
    </row>
    <row r="53" spans="2:8" ht="12.75" x14ac:dyDescent="0.2">
      <c r="B53" s="182"/>
      <c r="E53" s="37" t="s">
        <v>72</v>
      </c>
      <c r="F53" s="16"/>
      <c r="G53" s="16"/>
      <c r="H53" s="17"/>
    </row>
    <row r="54" spans="2:8" ht="12.75" x14ac:dyDescent="0.2">
      <c r="B54" s="182"/>
      <c r="E54" s="192" t="s">
        <v>73</v>
      </c>
      <c r="F54" s="165"/>
      <c r="G54" s="165"/>
      <c r="H54" s="170"/>
    </row>
    <row r="55" spans="2:8" ht="8.25" customHeight="1" x14ac:dyDescent="0.2">
      <c r="B55" s="185"/>
      <c r="C55" s="38"/>
      <c r="D55" s="38"/>
      <c r="E55" s="38"/>
      <c r="F55" s="38"/>
      <c r="G55" s="38"/>
      <c r="H55" s="39"/>
    </row>
    <row r="57" spans="2:8" ht="14.25" x14ac:dyDescent="0.2">
      <c r="B57" s="193" t="s">
        <v>74</v>
      </c>
      <c r="C57" s="165"/>
      <c r="D57" s="165"/>
      <c r="E57" s="165"/>
      <c r="F57" s="165"/>
      <c r="G57" s="32"/>
      <c r="H57" s="33" t="s">
        <v>75</v>
      </c>
    </row>
  </sheetData>
  <mergeCells count="27">
    <mergeCell ref="B57:F57"/>
    <mergeCell ref="D24:H24"/>
    <mergeCell ref="D28:H28"/>
    <mergeCell ref="D32:H32"/>
    <mergeCell ref="D36:H36"/>
    <mergeCell ref="D40:H40"/>
    <mergeCell ref="D44:H44"/>
    <mergeCell ref="E45:H45"/>
    <mergeCell ref="B1:H1"/>
    <mergeCell ref="B4:H4"/>
    <mergeCell ref="B7:H7"/>
    <mergeCell ref="B9:B11"/>
    <mergeCell ref="D9:H9"/>
    <mergeCell ref="E10:F10"/>
    <mergeCell ref="D12:H12"/>
    <mergeCell ref="D16:H16"/>
    <mergeCell ref="B12:B23"/>
    <mergeCell ref="B24:B39"/>
    <mergeCell ref="B40:B55"/>
    <mergeCell ref="D20:H20"/>
    <mergeCell ref="E46:G46"/>
    <mergeCell ref="E47:G47"/>
    <mergeCell ref="E48:G48"/>
    <mergeCell ref="E49:F49"/>
    <mergeCell ref="D51:H51"/>
    <mergeCell ref="E52:F52"/>
    <mergeCell ref="E54:H54"/>
  </mergeCells>
  <hyperlinks>
    <hyperlink ref="B7" r:id="rId1" xr:uid="{00000000-0004-0000-0200-000000000000}"/>
    <hyperlink ref="E10" location="'Tutorial How-To'!A1" display="Tutorial How-To" xr:uid="{00000000-0004-0000-0200-000001000000}"/>
    <hyperlink ref="E13" location="C1LessonTitle" display="Lesson" xr:uid="{00000000-0004-0000-0200-000002000000}"/>
    <hyperlink ref="E14" location="C1ExerciseTitle" display="Exercises" xr:uid="{00000000-0004-0000-0200-000003000000}"/>
    <hyperlink ref="E17" location="C2LessonTitle" display="Lesson" xr:uid="{00000000-0004-0000-0200-000004000000}"/>
    <hyperlink ref="E18" location="C2ExerciseTitle" display="Exercises" xr:uid="{00000000-0004-0000-0200-000005000000}"/>
    <hyperlink ref="E21" location="C3LessonTitle" display="Lesson" xr:uid="{00000000-0004-0000-0200-000006000000}"/>
    <hyperlink ref="E22" location="C3ExerciseTitle" display="Exercises" xr:uid="{00000000-0004-0000-0200-000007000000}"/>
    <hyperlink ref="E25" location="C4LessonTitle" display="Lesson" xr:uid="{00000000-0004-0000-0200-000008000000}"/>
    <hyperlink ref="E26" location="C4ExerciseTitle" display="Exercises" xr:uid="{00000000-0004-0000-0200-000009000000}"/>
    <hyperlink ref="E29" location="C5LessonTitle" display="Lesson" xr:uid="{00000000-0004-0000-0200-00000A000000}"/>
    <hyperlink ref="E30" location="C5ExerciseTitle" display="Exercises" xr:uid="{00000000-0004-0000-0200-00000B000000}"/>
    <hyperlink ref="E33" location="C6LessonTitle" display="Lesson" xr:uid="{00000000-0004-0000-0200-00000C000000}"/>
    <hyperlink ref="E34" location="C6ExerciseTitle" display="Exercises" xr:uid="{00000000-0004-0000-0200-00000D000000}"/>
    <hyperlink ref="E37" location="C7LessonTitle" display="Lesson" xr:uid="{00000000-0004-0000-0200-00000E000000}"/>
    <hyperlink ref="E38" location="C7ExerciseTitle" display="Exercises" xr:uid="{00000000-0004-0000-0200-00000F000000}"/>
    <hyperlink ref="E41" location="C8LessonTitle" display="Lesson" xr:uid="{00000000-0004-0000-0200-000010000000}"/>
    <hyperlink ref="E42" location="C8ExerciseTitle" display="Exercises" xr:uid="{00000000-0004-0000-0200-000011000000}"/>
    <hyperlink ref="E45" location="C9TemplateTitle" display="Complex Prompts from Scratch - Chatbot" xr:uid="{00000000-0004-0000-0200-000012000000}"/>
    <hyperlink ref="E46" location="C9LegalTitle" display="Complex Prompts for Legal Services" xr:uid="{00000000-0004-0000-0200-000013000000}"/>
    <hyperlink ref="E47" location="C9FinancialTitle" display="Exercise: Complex Prompts for Financial Services" xr:uid="{00000000-0004-0000-0200-000014000000}"/>
    <hyperlink ref="E48" location="C9CodingTitle" display="Exercise: Complex Prompts for Coding" xr:uid="{00000000-0004-0000-0200-000015000000}"/>
    <hyperlink ref="E49" location="C9CongratsTitle" display="Congratulations &amp; Next Steps" xr:uid="{00000000-0004-0000-0200-000016000000}"/>
    <hyperlink ref="E52" location="AppChainingTitle" display="Chaining Prompts" xr:uid="{00000000-0004-0000-0200-000017000000}"/>
    <hyperlink ref="E53" location="AppFunctionTitle" display="Function Calling" xr:uid="{00000000-0004-0000-0200-000018000000}"/>
    <hyperlink ref="E54" location="App1Title" display="Search &amp; Retrieval" xr:uid="{00000000-0004-0000-0200-000019000000}"/>
    <hyperlink ref="B57" location="TutorialTitle" display="← Tutorial How-To" xr:uid="{00000000-0004-0000-0200-00001A000000}"/>
    <hyperlink ref="H57" location="C1LessonTitle" display="Chapter 1: Basic Prompt Structure →" xr:uid="{00000000-0004-0000-0200-00001B000000}"/>
  </hyperlinks>
  <pageMargins left="0.7" right="0.7" top="0.75" bottom="0.75" header="0.3" footer="0.3"/>
  <pageSetup paperSize="9" scale="65"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3C47D"/>
    <outlinePr summaryBelow="0" summaryRight="0"/>
    <pageSetUpPr fitToPage="1"/>
  </sheetPr>
  <dimension ref="A1:G102"/>
  <sheetViews>
    <sheetView showGridLines="0" view="pageBreakPreview" topLeftCell="A13" zoomScale="60" zoomScaleNormal="100" workbookViewId="0">
      <selection activeCell="E32" sqref="E32"/>
    </sheetView>
  </sheetViews>
  <sheetFormatPr defaultColWidth="12.5703125" defaultRowHeight="15.75" customHeight="1" x14ac:dyDescent="0.2"/>
  <cols>
    <col min="1" max="1" width="5.42578125" customWidth="1"/>
    <col min="2" max="2" width="3" customWidth="1"/>
    <col min="3" max="3" width="40.140625" customWidth="1"/>
    <col min="4" max="4" width="4" customWidth="1"/>
    <col min="5" max="5" width="48.42578125" customWidth="1"/>
    <col min="6" max="6" width="3" customWidth="1"/>
    <col min="7" max="7" width="5.42578125" customWidth="1"/>
  </cols>
  <sheetData>
    <row r="1" spans="1:7" ht="32.25" customHeight="1" x14ac:dyDescent="0.4">
      <c r="A1" s="1"/>
      <c r="B1" s="164" t="s">
        <v>52</v>
      </c>
      <c r="C1" s="165"/>
      <c r="D1" s="165"/>
      <c r="E1" s="165"/>
      <c r="F1" s="3"/>
      <c r="G1" s="3"/>
    </row>
    <row r="2" spans="1:7" ht="21.75" customHeight="1" x14ac:dyDescent="0.2"/>
    <row r="3" spans="1:7" ht="21.75" customHeight="1" x14ac:dyDescent="0.3">
      <c r="A3" s="16"/>
      <c r="B3" s="194" t="s">
        <v>76</v>
      </c>
      <c r="C3" s="165"/>
    </row>
    <row r="4" spans="1:7" ht="15.75" customHeight="1" x14ac:dyDescent="0.2">
      <c r="A4" s="16"/>
      <c r="C4" s="40" t="s">
        <v>53</v>
      </c>
    </row>
    <row r="5" spans="1:7" ht="15.75" customHeight="1" x14ac:dyDescent="0.2">
      <c r="A5" s="16"/>
      <c r="C5" s="40" t="s">
        <v>77</v>
      </c>
    </row>
    <row r="6" spans="1:7" ht="15.75" customHeight="1" x14ac:dyDescent="0.2">
      <c r="A6" s="16" t="s">
        <v>78</v>
      </c>
      <c r="C6" s="40" t="s">
        <v>79</v>
      </c>
    </row>
    <row r="7" spans="1:7" ht="33.75" customHeight="1" x14ac:dyDescent="0.2"/>
    <row r="8" spans="1:7" ht="29.25" customHeight="1" x14ac:dyDescent="0.2">
      <c r="A8" s="41"/>
      <c r="B8" s="195" t="s">
        <v>53</v>
      </c>
      <c r="C8" s="196"/>
      <c r="D8" s="196"/>
      <c r="E8" s="197" t="s">
        <v>80</v>
      </c>
      <c r="F8" s="198"/>
      <c r="G8" s="41"/>
    </row>
    <row r="9" spans="1:7" ht="12.75" x14ac:dyDescent="0.2">
      <c r="B9" s="199" t="s">
        <v>81</v>
      </c>
      <c r="C9" s="165"/>
      <c r="D9" s="165"/>
      <c r="E9" s="165"/>
      <c r="F9" s="170"/>
    </row>
    <row r="10" spans="1:7" ht="11.25" customHeight="1" x14ac:dyDescent="0.2">
      <c r="B10" s="8"/>
      <c r="C10" s="9"/>
      <c r="D10" s="9"/>
      <c r="E10" s="9"/>
      <c r="F10" s="11"/>
    </row>
    <row r="11" spans="1:7" ht="12.75" x14ac:dyDescent="0.2">
      <c r="B11" s="200" t="s">
        <v>82</v>
      </c>
      <c r="C11" s="165"/>
      <c r="D11" s="165"/>
      <c r="E11" s="165"/>
      <c r="F11" s="170"/>
    </row>
    <row r="12" spans="1:7" ht="15.75" customHeight="1" x14ac:dyDescent="0.2">
      <c r="A12" s="41"/>
      <c r="B12" s="43"/>
      <c r="C12" s="44" t="s">
        <v>83</v>
      </c>
      <c r="D12" s="44"/>
      <c r="E12" s="44"/>
      <c r="F12" s="45"/>
      <c r="G12" s="41"/>
    </row>
    <row r="13" spans="1:7" ht="15.75" customHeight="1" x14ac:dyDescent="0.2">
      <c r="A13" s="41"/>
      <c r="B13" s="43"/>
      <c r="C13" s="44" t="s">
        <v>84</v>
      </c>
      <c r="D13" s="44"/>
      <c r="E13" s="44"/>
      <c r="F13" s="45"/>
      <c r="G13" s="41"/>
    </row>
    <row r="14" spans="1:7" ht="15.75" customHeight="1" x14ac:dyDescent="0.2">
      <c r="A14" s="41"/>
      <c r="B14" s="43"/>
      <c r="C14" s="201" t="s">
        <v>85</v>
      </c>
      <c r="D14" s="165"/>
      <c r="E14" s="165"/>
      <c r="F14" s="45"/>
      <c r="G14" s="41"/>
    </row>
    <row r="15" spans="1:7" ht="39" customHeight="1" x14ac:dyDescent="0.2">
      <c r="A15" s="16"/>
      <c r="B15" s="200" t="s">
        <v>86</v>
      </c>
      <c r="C15" s="165"/>
      <c r="D15" s="165"/>
      <c r="E15" s="165"/>
      <c r="F15" s="170"/>
      <c r="G15" s="16"/>
    </row>
    <row r="16" spans="1:7" ht="11.25" customHeight="1" x14ac:dyDescent="0.2">
      <c r="B16" s="8"/>
      <c r="C16" s="9"/>
      <c r="D16" s="9"/>
      <c r="E16" s="9"/>
      <c r="F16" s="11"/>
    </row>
    <row r="17" spans="2:7" ht="14.25" x14ac:dyDescent="0.3">
      <c r="B17" s="202" t="s">
        <v>87</v>
      </c>
      <c r="C17" s="165"/>
      <c r="D17" s="165"/>
      <c r="E17" s="165"/>
      <c r="F17" s="170"/>
    </row>
    <row r="18" spans="2:7" ht="11.25" customHeight="1" x14ac:dyDescent="0.2">
      <c r="B18" s="8"/>
      <c r="C18" s="9"/>
      <c r="D18" s="9"/>
      <c r="E18" s="9"/>
      <c r="F18" s="11"/>
    </row>
    <row r="19" spans="2:7" ht="12.75" x14ac:dyDescent="0.2">
      <c r="B19" s="203" t="s">
        <v>88</v>
      </c>
      <c r="C19" s="188"/>
      <c r="D19" s="188"/>
      <c r="E19" s="188"/>
      <c r="F19" s="189"/>
    </row>
    <row r="20" spans="2:7" ht="33.75" customHeight="1" x14ac:dyDescent="0.2">
      <c r="B20" s="6"/>
      <c r="C20" s="6"/>
      <c r="D20" s="6"/>
      <c r="E20" s="6"/>
      <c r="F20" s="6"/>
    </row>
    <row r="21" spans="2:7" ht="29.25" customHeight="1" x14ac:dyDescent="0.2">
      <c r="B21" s="195" t="s">
        <v>77</v>
      </c>
      <c r="C21" s="196"/>
      <c r="D21" s="196"/>
      <c r="E21" s="197" t="s">
        <v>80</v>
      </c>
      <c r="F21" s="198"/>
    </row>
    <row r="22" spans="2:7" ht="12.75" x14ac:dyDescent="0.2">
      <c r="B22" s="200" t="s">
        <v>89</v>
      </c>
      <c r="C22" s="165"/>
      <c r="D22" s="165"/>
      <c r="E22" s="165"/>
      <c r="F22" s="170"/>
    </row>
    <row r="23" spans="2:7" ht="8.25" customHeight="1" x14ac:dyDescent="0.2">
      <c r="B23" s="15"/>
      <c r="F23" s="17"/>
    </row>
    <row r="24" spans="2:7" ht="12.75" x14ac:dyDescent="0.2">
      <c r="B24" s="15"/>
      <c r="C24" s="18" t="s">
        <v>90</v>
      </c>
      <c r="E24" s="18" t="s">
        <v>91</v>
      </c>
      <c r="F24" s="17"/>
    </row>
    <row r="25" spans="2:7" ht="69" customHeight="1" x14ac:dyDescent="0.2">
      <c r="B25" s="15"/>
      <c r="C25" s="46" t="s">
        <v>92</v>
      </c>
      <c r="D25" s="47" t="s">
        <v>93</v>
      </c>
      <c r="E25" s="48" t="e">
        <f ca="1">claudeMessages($C25,'Tutorial How-To'!$E$37,"temperature",0)</f>
        <v>#NAME?</v>
      </c>
      <c r="G25" s="15"/>
    </row>
    <row r="26" spans="2:7" ht="8.25" customHeight="1" x14ac:dyDescent="0.2">
      <c r="B26" s="204"/>
      <c r="C26" s="165"/>
      <c r="D26" s="165"/>
      <c r="E26" s="165"/>
      <c r="F26" s="170"/>
    </row>
    <row r="27" spans="2:7" ht="103.5" customHeight="1" x14ac:dyDescent="0.2">
      <c r="B27" s="15"/>
      <c r="C27" s="205" t="s">
        <v>94</v>
      </c>
      <c r="D27" s="208" t="s">
        <v>93</v>
      </c>
      <c r="E27" s="209" t="e">
        <f ca="1">claudeMessages($C27,'Tutorial How-To'!$E$37,"temperature",0)</f>
        <v>#NAME?</v>
      </c>
      <c r="F27" s="17"/>
    </row>
    <row r="28" spans="2:7" ht="103.5" customHeight="1" x14ac:dyDescent="0.2">
      <c r="B28" s="15"/>
      <c r="C28" s="206"/>
      <c r="D28" s="165"/>
      <c r="E28" s="206"/>
      <c r="F28" s="17"/>
    </row>
    <row r="29" spans="2:7" ht="103.5" customHeight="1" x14ac:dyDescent="0.2">
      <c r="B29" s="15"/>
      <c r="C29" s="207"/>
      <c r="D29" s="165"/>
      <c r="E29" s="207"/>
      <c r="F29" s="17"/>
    </row>
    <row r="30" spans="2:7" ht="8.25" customHeight="1" x14ac:dyDescent="0.2">
      <c r="B30" s="15"/>
      <c r="F30" s="17"/>
    </row>
    <row r="31" spans="2:7" ht="69" customHeight="1" x14ac:dyDescent="0.2">
      <c r="B31" s="15"/>
      <c r="C31" s="46" t="s">
        <v>95</v>
      </c>
      <c r="D31" s="47" t="s">
        <v>93</v>
      </c>
      <c r="E31" s="48" t="e">
        <f ca="1">claudeMessages($C31,'Tutorial How-To'!$E$37,"temperature",0)</f>
        <v>#NAME?</v>
      </c>
      <c r="F31" s="17"/>
    </row>
    <row r="32" spans="2:7" ht="22.5" customHeight="1" x14ac:dyDescent="0.2">
      <c r="B32" s="15"/>
      <c r="F32" s="17"/>
    </row>
    <row r="33" spans="1:7" ht="12.75" x14ac:dyDescent="0.2">
      <c r="B33" s="200" t="s">
        <v>96</v>
      </c>
      <c r="C33" s="165"/>
      <c r="D33" s="165"/>
      <c r="E33" s="165"/>
      <c r="F33" s="170"/>
    </row>
    <row r="34" spans="1:7" ht="8.25" customHeight="1" x14ac:dyDescent="0.2">
      <c r="B34" s="15"/>
      <c r="F34" s="17"/>
    </row>
    <row r="35" spans="1:7" ht="12.75" x14ac:dyDescent="0.2">
      <c r="B35" s="15"/>
      <c r="C35" s="18" t="s">
        <v>90</v>
      </c>
      <c r="E35" s="18" t="s">
        <v>91</v>
      </c>
      <c r="F35" s="17"/>
    </row>
    <row r="36" spans="1:7" ht="71.25" customHeight="1" x14ac:dyDescent="0.2">
      <c r="A36" s="49"/>
      <c r="B36" s="50"/>
      <c r="C36" s="210" t="s">
        <v>97</v>
      </c>
      <c r="D36" s="211" t="s">
        <v>93</v>
      </c>
      <c r="E36" s="212" t="e">
        <f ca="1">claudeMessages($C36,'Tutorial How-To'!$E$37,"temperature",0)</f>
        <v>#NAME?</v>
      </c>
      <c r="F36" s="53"/>
      <c r="G36" s="49"/>
    </row>
    <row r="37" spans="1:7" ht="71.25" customHeight="1" x14ac:dyDescent="0.2">
      <c r="A37" s="49"/>
      <c r="B37" s="50"/>
      <c r="C37" s="207"/>
      <c r="D37" s="165"/>
      <c r="E37" s="213"/>
      <c r="F37" s="53"/>
      <c r="G37" s="49"/>
    </row>
    <row r="38" spans="1:7" ht="22.5" customHeight="1" x14ac:dyDescent="0.2">
      <c r="B38" s="15"/>
      <c r="F38" s="17"/>
    </row>
    <row r="39" spans="1:7" ht="14.25" x14ac:dyDescent="0.2">
      <c r="B39" s="214" t="s">
        <v>98</v>
      </c>
      <c r="C39" s="165"/>
      <c r="D39" s="165"/>
      <c r="E39" s="165"/>
      <c r="F39" s="170"/>
    </row>
    <row r="40" spans="1:7" ht="8.25" customHeight="1" x14ac:dyDescent="0.2">
      <c r="B40" s="15"/>
      <c r="F40" s="17"/>
    </row>
    <row r="41" spans="1:7" ht="12.75" x14ac:dyDescent="0.2">
      <c r="B41" s="15"/>
      <c r="C41" s="18" t="s">
        <v>90</v>
      </c>
      <c r="E41" s="18" t="s">
        <v>91</v>
      </c>
      <c r="F41" s="17"/>
    </row>
    <row r="42" spans="1:7" ht="63.75" customHeight="1" x14ac:dyDescent="0.2">
      <c r="B42" s="15"/>
      <c r="C42" s="54" t="s">
        <v>99</v>
      </c>
      <c r="D42" s="52" t="s">
        <v>93</v>
      </c>
      <c r="E42" s="54" t="e">
        <f ca="1">claudeMessages($C42,'Tutorial How-To'!$E$37,"temperature",0)</f>
        <v>#NAME?</v>
      </c>
      <c r="F42" s="17"/>
    </row>
    <row r="43" spans="1:7" ht="22.5" customHeight="1" x14ac:dyDescent="0.2">
      <c r="B43" s="15"/>
      <c r="F43" s="17"/>
    </row>
    <row r="44" spans="1:7" ht="14.25" x14ac:dyDescent="0.2">
      <c r="B44" s="214" t="s">
        <v>100</v>
      </c>
      <c r="C44" s="165"/>
      <c r="D44" s="165"/>
      <c r="E44" s="165"/>
      <c r="F44" s="170"/>
    </row>
    <row r="45" spans="1:7" ht="8.25" customHeight="1" x14ac:dyDescent="0.2">
      <c r="B45" s="15"/>
      <c r="F45" s="17"/>
    </row>
    <row r="46" spans="1:7" ht="12.75" x14ac:dyDescent="0.2">
      <c r="B46" s="15"/>
      <c r="C46" s="18" t="s">
        <v>90</v>
      </c>
      <c r="E46" s="18" t="s">
        <v>91</v>
      </c>
      <c r="F46" s="17"/>
    </row>
    <row r="47" spans="1:7" ht="78" customHeight="1" x14ac:dyDescent="0.2">
      <c r="B47" s="15"/>
      <c r="C47" s="210" t="s">
        <v>101</v>
      </c>
      <c r="D47" s="211" t="s">
        <v>93</v>
      </c>
      <c r="E47" s="210" t="e">
        <f ca="1">claudeMessages($C47,'Tutorial How-To'!$E$37,"temperature",0)</f>
        <v>#NAME?</v>
      </c>
      <c r="F47" s="17"/>
    </row>
    <row r="48" spans="1:7" ht="78" customHeight="1" x14ac:dyDescent="0.2">
      <c r="B48" s="15"/>
      <c r="C48" s="206"/>
      <c r="D48" s="165"/>
      <c r="E48" s="206"/>
      <c r="F48" s="17"/>
    </row>
    <row r="49" spans="1:7" ht="78" customHeight="1" x14ac:dyDescent="0.2">
      <c r="B49" s="15"/>
      <c r="C49" s="207"/>
      <c r="D49" s="165"/>
      <c r="E49" s="207"/>
      <c r="F49" s="17"/>
    </row>
    <row r="50" spans="1:7" ht="22.5" customHeight="1" x14ac:dyDescent="0.2">
      <c r="B50" s="15"/>
      <c r="F50" s="17"/>
    </row>
    <row r="51" spans="1:7" ht="12.75" x14ac:dyDescent="0.2">
      <c r="B51" s="200" t="s">
        <v>102</v>
      </c>
      <c r="C51" s="165"/>
      <c r="D51" s="165"/>
      <c r="E51" s="165"/>
      <c r="F51" s="170"/>
    </row>
    <row r="52" spans="1:7" ht="11.25" customHeight="1" x14ac:dyDescent="0.2">
      <c r="B52" s="8"/>
      <c r="C52" s="9"/>
      <c r="D52" s="9"/>
      <c r="E52" s="9"/>
      <c r="F52" s="11"/>
    </row>
    <row r="53" spans="1:7" ht="12.75" x14ac:dyDescent="0.2">
      <c r="B53" s="200" t="s">
        <v>103</v>
      </c>
      <c r="C53" s="165"/>
      <c r="D53" s="165"/>
      <c r="E53" s="165"/>
      <c r="F53" s="170"/>
    </row>
    <row r="54" spans="1:7" ht="11.25" customHeight="1" x14ac:dyDescent="0.2">
      <c r="B54" s="8"/>
      <c r="C54" s="9"/>
      <c r="D54" s="9"/>
      <c r="E54" s="9"/>
      <c r="F54" s="11"/>
    </row>
    <row r="55" spans="1:7" ht="12.75" x14ac:dyDescent="0.2">
      <c r="A55" s="55"/>
      <c r="B55" s="215" t="s">
        <v>104</v>
      </c>
      <c r="C55" s="165"/>
      <c r="D55" s="165"/>
      <c r="E55" s="165"/>
      <c r="F55" s="170"/>
      <c r="G55" s="56"/>
    </row>
    <row r="56" spans="1:7" ht="8.25" customHeight="1" x14ac:dyDescent="0.2">
      <c r="A56" s="55"/>
      <c r="B56" s="56"/>
      <c r="C56" s="56"/>
      <c r="D56" s="56"/>
      <c r="E56" s="56"/>
      <c r="F56" s="55"/>
      <c r="G56" s="56"/>
    </row>
    <row r="57" spans="1:7" ht="16.5" customHeight="1" x14ac:dyDescent="0.2">
      <c r="A57" s="55"/>
      <c r="B57" s="56"/>
      <c r="C57" s="57" t="s">
        <v>105</v>
      </c>
      <c r="D57" s="56"/>
      <c r="E57" s="57" t="s">
        <v>91</v>
      </c>
      <c r="F57" s="55"/>
      <c r="G57" s="56"/>
    </row>
    <row r="58" spans="1:7" ht="80.25" customHeight="1" x14ac:dyDescent="0.2">
      <c r="A58" s="55"/>
      <c r="B58" s="58"/>
      <c r="C58" s="216" t="s">
        <v>106</v>
      </c>
      <c r="D58" s="217" t="s">
        <v>93</v>
      </c>
      <c r="E58" s="209" t="e">
        <f ca="1">claudeMessages($C62,'Tutorial How-To'!$E$37,"temperature",0, "system", C58)</f>
        <v>#NAME?</v>
      </c>
      <c r="F58" s="55"/>
      <c r="G58" s="56"/>
    </row>
    <row r="59" spans="1:7" ht="80.25" customHeight="1" x14ac:dyDescent="0.2">
      <c r="A59" s="55"/>
      <c r="B59" s="56"/>
      <c r="C59" s="207"/>
      <c r="D59" s="218"/>
      <c r="E59" s="206"/>
      <c r="F59" s="55"/>
      <c r="G59" s="56"/>
    </row>
    <row r="60" spans="1:7" ht="8.25" customHeight="1" x14ac:dyDescent="0.2">
      <c r="A60" s="55"/>
      <c r="B60" s="56"/>
      <c r="C60" s="59"/>
      <c r="D60" s="218"/>
      <c r="E60" s="206"/>
      <c r="F60" s="55"/>
      <c r="G60" s="56"/>
    </row>
    <row r="61" spans="1:7" ht="16.5" customHeight="1" x14ac:dyDescent="0.2">
      <c r="A61" s="55"/>
      <c r="B61" s="56"/>
      <c r="C61" s="57" t="s">
        <v>90</v>
      </c>
      <c r="D61" s="218"/>
      <c r="E61" s="206"/>
      <c r="F61" s="55"/>
      <c r="G61" s="56"/>
    </row>
    <row r="62" spans="1:7" ht="80.25" customHeight="1" x14ac:dyDescent="0.2">
      <c r="A62" s="55"/>
      <c r="B62" s="58"/>
      <c r="C62" s="60" t="s">
        <v>107</v>
      </c>
      <c r="D62" s="218"/>
      <c r="E62" s="207"/>
      <c r="F62" s="55"/>
      <c r="G62" s="56"/>
    </row>
    <row r="63" spans="1:7" ht="11.25" customHeight="1" x14ac:dyDescent="0.2">
      <c r="A63" s="55"/>
      <c r="B63" s="56"/>
      <c r="C63" s="56"/>
      <c r="D63" s="56"/>
      <c r="E63" s="56"/>
      <c r="F63" s="55"/>
      <c r="G63" s="56"/>
    </row>
    <row r="64" spans="1:7" ht="12.75" x14ac:dyDescent="0.2">
      <c r="A64" s="55"/>
      <c r="B64" s="219" t="s">
        <v>108</v>
      </c>
      <c r="C64" s="165"/>
      <c r="D64" s="165"/>
      <c r="E64" s="165"/>
      <c r="F64" s="170"/>
      <c r="G64" s="56"/>
    </row>
    <row r="65" spans="2:7" ht="11.25" customHeight="1" x14ac:dyDescent="0.2">
      <c r="B65" s="8"/>
      <c r="C65" s="9"/>
      <c r="D65" s="9"/>
      <c r="E65" s="9"/>
      <c r="F65" s="11"/>
    </row>
    <row r="66" spans="2:7" ht="29.25" customHeight="1" x14ac:dyDescent="0.2">
      <c r="B66" s="220" t="s">
        <v>109</v>
      </c>
      <c r="C66" s="188"/>
      <c r="D66" s="188"/>
      <c r="E66" s="188"/>
      <c r="F66" s="189"/>
    </row>
    <row r="68" spans="2:7" ht="15.75" customHeight="1" x14ac:dyDescent="0.2">
      <c r="E68" s="175" t="s">
        <v>110</v>
      </c>
      <c r="F68" s="165"/>
    </row>
    <row r="69" spans="2:7" ht="33.75" customHeight="1" x14ac:dyDescent="0.2"/>
    <row r="70" spans="2:7" ht="29.25" customHeight="1" x14ac:dyDescent="0.2">
      <c r="B70" s="195" t="s">
        <v>79</v>
      </c>
      <c r="C70" s="196"/>
      <c r="D70" s="196"/>
      <c r="E70" s="197" t="s">
        <v>80</v>
      </c>
      <c r="F70" s="198"/>
    </row>
    <row r="71" spans="2:7" ht="12.75" x14ac:dyDescent="0.2">
      <c r="B71" s="200" t="s">
        <v>111</v>
      </c>
      <c r="C71" s="165"/>
      <c r="D71" s="165"/>
      <c r="E71" s="165"/>
      <c r="F71" s="170"/>
    </row>
    <row r="72" spans="2:7" ht="8.25" customHeight="1" x14ac:dyDescent="0.2">
      <c r="B72" s="15"/>
      <c r="F72" s="17"/>
    </row>
    <row r="73" spans="2:7" ht="12.75" x14ac:dyDescent="0.2">
      <c r="B73" s="15"/>
      <c r="C73" s="18" t="s">
        <v>90</v>
      </c>
      <c r="E73" s="18" t="s">
        <v>91</v>
      </c>
      <c r="F73" s="17"/>
    </row>
    <row r="74" spans="2:7" ht="69" customHeight="1" x14ac:dyDescent="0.2">
      <c r="B74" s="15"/>
      <c r="C74" s="46" t="s">
        <v>92</v>
      </c>
      <c r="D74" s="47" t="s">
        <v>93</v>
      </c>
      <c r="E74" s="48" t="e">
        <f ca="1">claudeMessages($C74,'Tutorial How-To'!$E$37,"temperature",0)</f>
        <v>#NAME?</v>
      </c>
      <c r="G74" s="15"/>
    </row>
    <row r="75" spans="2:7" ht="8.25" customHeight="1" x14ac:dyDescent="0.2">
      <c r="B75" s="204"/>
      <c r="C75" s="165"/>
      <c r="D75" s="165"/>
      <c r="E75" s="165"/>
      <c r="F75" s="170"/>
    </row>
    <row r="76" spans="2:7" ht="103.5" customHeight="1" x14ac:dyDescent="0.2">
      <c r="B76" s="15"/>
      <c r="C76" s="205" t="s">
        <v>94</v>
      </c>
      <c r="D76" s="208" t="s">
        <v>93</v>
      </c>
      <c r="E76" s="209" t="e">
        <f ca="1">claudeMessages($C76,'Tutorial How-To'!$E$37,"temperature",0)</f>
        <v>#NAME?</v>
      </c>
      <c r="F76" s="17"/>
    </row>
    <row r="77" spans="2:7" ht="103.5" customHeight="1" x14ac:dyDescent="0.2">
      <c r="B77" s="15"/>
      <c r="C77" s="206"/>
      <c r="D77" s="165"/>
      <c r="E77" s="206"/>
      <c r="F77" s="17"/>
    </row>
    <row r="78" spans="2:7" ht="103.5" customHeight="1" x14ac:dyDescent="0.2">
      <c r="B78" s="15"/>
      <c r="C78" s="207"/>
      <c r="D78" s="165"/>
      <c r="E78" s="207"/>
      <c r="F78" s="17"/>
    </row>
    <row r="79" spans="2:7" ht="8.25" customHeight="1" x14ac:dyDescent="0.2">
      <c r="B79" s="15"/>
      <c r="F79" s="17"/>
    </row>
    <row r="80" spans="2:7" ht="69" customHeight="1" x14ac:dyDescent="0.2">
      <c r="B80" s="15"/>
      <c r="C80" s="46" t="s">
        <v>95</v>
      </c>
      <c r="D80" s="47" t="s">
        <v>93</v>
      </c>
      <c r="E80" s="48" t="e">
        <f ca="1">claudeMessages($C80,'Tutorial How-To'!$E$37,"temperature",0)</f>
        <v>#NAME?</v>
      </c>
      <c r="F80" s="17"/>
    </row>
    <row r="81" spans="1:7" ht="8.25" customHeight="1" x14ac:dyDescent="0.2">
      <c r="B81" s="204"/>
      <c r="C81" s="165"/>
      <c r="D81" s="165"/>
      <c r="E81" s="165"/>
      <c r="F81" s="170"/>
    </row>
    <row r="82" spans="1:7" ht="71.25" customHeight="1" x14ac:dyDescent="0.2">
      <c r="A82" s="49"/>
      <c r="B82" s="50"/>
      <c r="C82" s="210" t="s">
        <v>97</v>
      </c>
      <c r="D82" s="211" t="s">
        <v>93</v>
      </c>
      <c r="E82" s="212" t="e">
        <f ca="1">claudeMessages($C82,'Tutorial How-To'!$E$37,"temperature",0)</f>
        <v>#NAME?</v>
      </c>
      <c r="F82" s="53"/>
      <c r="G82" s="49"/>
    </row>
    <row r="83" spans="1:7" ht="71.25" customHeight="1" x14ac:dyDescent="0.2">
      <c r="A83" s="49"/>
      <c r="B83" s="50"/>
      <c r="C83" s="207"/>
      <c r="D83" s="165"/>
      <c r="E83" s="213"/>
      <c r="F83" s="53"/>
      <c r="G83" s="49"/>
    </row>
    <row r="84" spans="1:7" ht="8.25" customHeight="1" x14ac:dyDescent="0.2">
      <c r="B84" s="15"/>
      <c r="F84" s="17"/>
    </row>
    <row r="85" spans="1:7" ht="63.75" customHeight="1" x14ac:dyDescent="0.2">
      <c r="B85" s="15"/>
      <c r="C85" s="54" t="s">
        <v>99</v>
      </c>
      <c r="D85" s="52" t="s">
        <v>93</v>
      </c>
      <c r="E85" s="54" t="e">
        <f ca="1">claudeMessages($C85,'Tutorial How-To'!$E$37,"temperature",0)</f>
        <v>#NAME?</v>
      </c>
      <c r="F85" s="17"/>
    </row>
    <row r="86" spans="1:7" ht="8.25" customHeight="1" x14ac:dyDescent="0.2">
      <c r="B86" s="15"/>
      <c r="F86" s="17"/>
    </row>
    <row r="87" spans="1:7" ht="78" customHeight="1" x14ac:dyDescent="0.2">
      <c r="B87" s="15"/>
      <c r="C87" s="210" t="s">
        <v>101</v>
      </c>
      <c r="D87" s="211" t="s">
        <v>93</v>
      </c>
      <c r="E87" s="210" t="e">
        <f ca="1">claudeMessages($C87,'Tutorial How-To'!$E$37,"temperature",0)</f>
        <v>#NAME?</v>
      </c>
      <c r="F87" s="17"/>
    </row>
    <row r="88" spans="1:7" ht="78" customHeight="1" x14ac:dyDescent="0.2">
      <c r="B88" s="15"/>
      <c r="C88" s="206"/>
      <c r="D88" s="165"/>
      <c r="E88" s="206"/>
      <c r="F88" s="17"/>
    </row>
    <row r="89" spans="1:7" ht="78" customHeight="1" x14ac:dyDescent="0.2">
      <c r="B89" s="15"/>
      <c r="C89" s="207"/>
      <c r="D89" s="165"/>
      <c r="E89" s="207"/>
      <c r="F89" s="17"/>
    </row>
    <row r="90" spans="1:7" ht="8.25" customHeight="1" x14ac:dyDescent="0.2">
      <c r="B90" s="15"/>
      <c r="F90" s="17"/>
    </row>
    <row r="91" spans="1:7" ht="16.5" customHeight="1" x14ac:dyDescent="0.2">
      <c r="A91" s="55"/>
      <c r="B91" s="56"/>
      <c r="C91" s="57" t="s">
        <v>105</v>
      </c>
      <c r="D91" s="56"/>
      <c r="E91" s="57" t="s">
        <v>91</v>
      </c>
      <c r="F91" s="55"/>
      <c r="G91" s="56"/>
    </row>
    <row r="92" spans="1:7" ht="80.25" customHeight="1" x14ac:dyDescent="0.2">
      <c r="A92" s="55"/>
      <c r="B92" s="58"/>
      <c r="C92" s="216" t="s">
        <v>106</v>
      </c>
      <c r="D92" s="217" t="s">
        <v>93</v>
      </c>
      <c r="E92" s="209" t="e">
        <f ca="1">claudeMessages($C96,'Tutorial How-To'!$E$37,"temperature",0, "system", C92)</f>
        <v>#NAME?</v>
      </c>
      <c r="F92" s="55"/>
      <c r="G92" s="56"/>
    </row>
    <row r="93" spans="1:7" ht="80.25" customHeight="1" x14ac:dyDescent="0.2">
      <c r="A93" s="55"/>
      <c r="B93" s="56"/>
      <c r="C93" s="207"/>
      <c r="D93" s="218"/>
      <c r="E93" s="206"/>
      <c r="F93" s="55"/>
      <c r="G93" s="56"/>
    </row>
    <row r="94" spans="1:7" ht="8.25" customHeight="1" x14ac:dyDescent="0.2">
      <c r="A94" s="55"/>
      <c r="B94" s="56"/>
      <c r="C94" s="59"/>
      <c r="D94" s="218"/>
      <c r="E94" s="206"/>
      <c r="F94" s="55"/>
      <c r="G94" s="56"/>
    </row>
    <row r="95" spans="1:7" ht="16.5" customHeight="1" x14ac:dyDescent="0.2">
      <c r="A95" s="55"/>
      <c r="B95" s="56"/>
      <c r="C95" s="57" t="s">
        <v>90</v>
      </c>
      <c r="D95" s="218"/>
      <c r="E95" s="206"/>
      <c r="F95" s="55"/>
      <c r="G95" s="56"/>
    </row>
    <row r="96" spans="1:7" ht="80.25" customHeight="1" x14ac:dyDescent="0.2">
      <c r="A96" s="55"/>
      <c r="B96" s="58"/>
      <c r="C96" s="60" t="s">
        <v>107</v>
      </c>
      <c r="D96" s="218"/>
      <c r="E96" s="207"/>
      <c r="F96" s="55"/>
      <c r="G96" s="56"/>
    </row>
    <row r="97" spans="2:6" ht="12.75" x14ac:dyDescent="0.2">
      <c r="B97" s="61"/>
      <c r="C97" s="38"/>
      <c r="D97" s="38"/>
      <c r="E97" s="38"/>
      <c r="F97" s="39"/>
    </row>
    <row r="99" spans="2:6" ht="14.25" x14ac:dyDescent="0.2">
      <c r="B99" s="221" t="s">
        <v>112</v>
      </c>
      <c r="C99" s="165"/>
      <c r="D99" s="62"/>
      <c r="E99" s="175" t="s">
        <v>110</v>
      </c>
      <c r="F99" s="165"/>
    </row>
    <row r="100" spans="2:6" ht="8.25" customHeight="1" x14ac:dyDescent="0.2"/>
    <row r="101" spans="2:6" ht="14.25" x14ac:dyDescent="0.2">
      <c r="B101" s="222" t="s">
        <v>80</v>
      </c>
      <c r="C101" s="165"/>
      <c r="D101" s="165"/>
      <c r="E101" s="165"/>
      <c r="F101" s="165"/>
    </row>
    <row r="102" spans="2:6" ht="14.25" x14ac:dyDescent="0.2">
      <c r="B102" s="222" t="s">
        <v>113</v>
      </c>
      <c r="C102" s="165"/>
      <c r="D102" s="165"/>
      <c r="E102" s="165"/>
      <c r="F102" s="165"/>
    </row>
  </sheetData>
  <mergeCells count="56">
    <mergeCell ref="B102:F102"/>
    <mergeCell ref="C76:C78"/>
    <mergeCell ref="C82:C83"/>
    <mergeCell ref="D82:D83"/>
    <mergeCell ref="E82:E83"/>
    <mergeCell ref="C87:C89"/>
    <mergeCell ref="E87:E89"/>
    <mergeCell ref="C92:C93"/>
    <mergeCell ref="E92:E96"/>
    <mergeCell ref="D87:D89"/>
    <mergeCell ref="D92:D96"/>
    <mergeCell ref="B99:C99"/>
    <mergeCell ref="E99:F99"/>
    <mergeCell ref="B101:F101"/>
    <mergeCell ref="B71:F71"/>
    <mergeCell ref="B75:F75"/>
    <mergeCell ref="D76:D78"/>
    <mergeCell ref="E76:E78"/>
    <mergeCell ref="B81:F81"/>
    <mergeCell ref="B64:F64"/>
    <mergeCell ref="B66:F66"/>
    <mergeCell ref="E68:F68"/>
    <mergeCell ref="B70:D70"/>
    <mergeCell ref="E70:F70"/>
    <mergeCell ref="B55:F55"/>
    <mergeCell ref="C47:C49"/>
    <mergeCell ref="C58:C59"/>
    <mergeCell ref="D58:D62"/>
    <mergeCell ref="E58:E62"/>
    <mergeCell ref="B44:F44"/>
    <mergeCell ref="D47:D49"/>
    <mergeCell ref="E47:E49"/>
    <mergeCell ref="B51:F51"/>
    <mergeCell ref="B53:F53"/>
    <mergeCell ref="B33:F33"/>
    <mergeCell ref="C36:C37"/>
    <mergeCell ref="D36:D37"/>
    <mergeCell ref="E36:E37"/>
    <mergeCell ref="B39:F39"/>
    <mergeCell ref="B21:D21"/>
    <mergeCell ref="E21:F21"/>
    <mergeCell ref="B22:F22"/>
    <mergeCell ref="B26:F26"/>
    <mergeCell ref="C27:C29"/>
    <mergeCell ref="D27:D29"/>
    <mergeCell ref="E27:E29"/>
    <mergeCell ref="B11:F11"/>
    <mergeCell ref="C14:E14"/>
    <mergeCell ref="B15:F15"/>
    <mergeCell ref="B17:F17"/>
    <mergeCell ref="B19:F19"/>
    <mergeCell ref="B1:E1"/>
    <mergeCell ref="B3:C3"/>
    <mergeCell ref="B8:D8"/>
    <mergeCell ref="E8:F8"/>
    <mergeCell ref="B9:F9"/>
  </mergeCells>
  <hyperlinks>
    <hyperlink ref="C4" location="C1Lesson" display="Lesson" xr:uid="{00000000-0004-0000-0300-000000000000}"/>
    <hyperlink ref="C5" location="C1Examples" display="Examples" xr:uid="{00000000-0004-0000-0300-000001000000}"/>
    <hyperlink ref="C6" location="C1ExamplePlayground" display="Example Playground" xr:uid="{00000000-0004-0000-0300-000002000000}"/>
    <hyperlink ref="E8" location="C1LessonTitle" display="Back to top ↑" xr:uid="{00000000-0004-0000-0300-000003000000}"/>
    <hyperlink ref="B9" r:id="rId1" location="claude-functions" xr:uid="{00000000-0004-0000-0300-000004000000}"/>
    <hyperlink ref="C14" r:id="rId2" location="optional-function-parameters" xr:uid="{00000000-0004-0000-0300-000005000000}"/>
    <hyperlink ref="E21" location="C1LessonTitle" display="Back to top ↑" xr:uid="{00000000-0004-0000-0300-000006000000}"/>
    <hyperlink ref="B64" r:id="rId3" xr:uid="{00000000-0004-0000-0300-000007000000}"/>
    <hyperlink ref="E68" location="C1ExerciseTitle" display="Chapter 1 Exercises: Basic Prompt Structure →" xr:uid="{00000000-0004-0000-0300-000008000000}"/>
    <hyperlink ref="E70" location="C1LessonTitle" display="Back to top ↑" xr:uid="{00000000-0004-0000-0300-000009000000}"/>
    <hyperlink ref="B99" location="IntroTitle" display="← Table of Contents" xr:uid="{00000000-0004-0000-0300-00000A000000}"/>
    <hyperlink ref="E99" location="C1ExerciseTitle" display="Chapter 1 Exercises: Basic Prompt Structure →" xr:uid="{00000000-0004-0000-0300-00000B000000}"/>
    <hyperlink ref="B101" location="C1LessonTitle" display="Back to top ↑" xr:uid="{00000000-0004-0000-0300-00000C000000}"/>
    <hyperlink ref="B102" location="IntroTitle" display="Table of Contents" xr:uid="{00000000-0004-0000-0300-00000D000000}"/>
  </hyperlinks>
  <pageMargins left="0.7" right="0.7" top="0.75" bottom="0.75" header="0.3" footer="0.3"/>
  <pageSetup paperSize="9" scale="81" fitToHeight="0" orientation="portrait" r:id="rId4"/>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3C47D"/>
    <outlinePr summaryBelow="0" summaryRight="0"/>
    <pageSetUpPr fitToPage="1"/>
  </sheetPr>
  <dimension ref="A1:G36"/>
  <sheetViews>
    <sheetView showGridLines="0" view="pageBreakPreview" zoomScale="60" zoomScaleNormal="100" workbookViewId="0"/>
  </sheetViews>
  <sheetFormatPr defaultColWidth="12.5703125" defaultRowHeight="15.75" customHeight="1" outlineLevelRow="1" x14ac:dyDescent="0.2"/>
  <cols>
    <col min="1" max="1" width="5.42578125" customWidth="1"/>
    <col min="2" max="2" width="3" customWidth="1"/>
    <col min="3" max="3" width="42.42578125" customWidth="1"/>
    <col min="4" max="4" width="4" customWidth="1"/>
    <col min="5" max="5" width="48.42578125" customWidth="1"/>
    <col min="6" max="6" width="3" customWidth="1"/>
    <col min="7" max="7" width="5.42578125" customWidth="1"/>
  </cols>
  <sheetData>
    <row r="1" spans="1:7" ht="32.25" customHeight="1" x14ac:dyDescent="0.4">
      <c r="A1" s="1"/>
      <c r="B1" s="164" t="s">
        <v>114</v>
      </c>
      <c r="C1" s="165"/>
      <c r="D1" s="165"/>
      <c r="E1" s="165"/>
      <c r="F1" s="3"/>
      <c r="G1" s="3"/>
    </row>
    <row r="2" spans="1:7" ht="21.75" customHeight="1" x14ac:dyDescent="0.2"/>
    <row r="3" spans="1:7" ht="21.75" customHeight="1" x14ac:dyDescent="0.3">
      <c r="A3" s="16"/>
      <c r="B3" s="194" t="s">
        <v>76</v>
      </c>
      <c r="C3" s="165"/>
    </row>
    <row r="4" spans="1:7" ht="15.75" customHeight="1" x14ac:dyDescent="0.2">
      <c r="A4" s="16"/>
      <c r="C4" s="40" t="s">
        <v>115</v>
      </c>
    </row>
    <row r="5" spans="1:7" ht="15.75" customHeight="1" x14ac:dyDescent="0.2">
      <c r="A5" s="16"/>
      <c r="C5" s="40" t="s">
        <v>116</v>
      </c>
    </row>
    <row r="6" spans="1:7" ht="33.75" customHeight="1" x14ac:dyDescent="0.2"/>
    <row r="7" spans="1:7" ht="29.25" customHeight="1" x14ac:dyDescent="0.2">
      <c r="A7" s="41"/>
      <c r="B7" s="195" t="s">
        <v>115</v>
      </c>
      <c r="C7" s="196"/>
      <c r="D7" s="196"/>
      <c r="E7" s="197" t="s">
        <v>80</v>
      </c>
      <c r="F7" s="198"/>
      <c r="G7" s="41"/>
    </row>
    <row r="8" spans="1:7" ht="27.75" customHeight="1" x14ac:dyDescent="0.2">
      <c r="B8" s="223" t="s">
        <v>117</v>
      </c>
      <c r="C8" s="165"/>
      <c r="D8" s="165"/>
      <c r="E8" s="165"/>
      <c r="F8" s="170"/>
    </row>
    <row r="9" spans="1:7" ht="11.25" customHeight="1" x14ac:dyDescent="0.2">
      <c r="B9" s="63"/>
      <c r="C9" s="9"/>
      <c r="D9" s="9"/>
      <c r="E9" s="9"/>
      <c r="F9" s="11"/>
    </row>
    <row r="10" spans="1:7" ht="13.5" x14ac:dyDescent="0.25">
      <c r="B10" s="200" t="s">
        <v>118</v>
      </c>
      <c r="C10" s="165"/>
      <c r="D10" s="165"/>
      <c r="E10" s="165"/>
      <c r="F10" s="170"/>
    </row>
    <row r="11" spans="1:7" ht="8.25" customHeight="1" x14ac:dyDescent="0.2">
      <c r="B11" s="15"/>
      <c r="F11" s="17"/>
    </row>
    <row r="12" spans="1:7" ht="15.75" customHeight="1" x14ac:dyDescent="0.2">
      <c r="B12" s="15"/>
      <c r="C12" s="18" t="s">
        <v>90</v>
      </c>
      <c r="E12" s="18" t="s">
        <v>91</v>
      </c>
      <c r="F12" s="17"/>
    </row>
    <row r="13" spans="1:7" ht="103.5" customHeight="1" x14ac:dyDescent="0.2">
      <c r="B13" s="15"/>
      <c r="C13" s="64" t="s">
        <v>119</v>
      </c>
      <c r="D13" s="47" t="s">
        <v>93</v>
      </c>
      <c r="E13" s="54" t="e">
        <f ca="1">claudeMessages($C13,'Tutorial How-To'!$E$37,"temperature",0)</f>
        <v>#NAME?</v>
      </c>
      <c r="F13" s="17"/>
    </row>
    <row r="14" spans="1:7" ht="15.75" customHeight="1" x14ac:dyDescent="0.2">
      <c r="B14" s="15"/>
      <c r="F14" s="17"/>
    </row>
    <row r="15" spans="1:7" ht="14.25" collapsed="1" x14ac:dyDescent="0.2">
      <c r="B15" s="65" t="s">
        <v>120</v>
      </c>
      <c r="C15" s="224" t="s">
        <v>121</v>
      </c>
      <c r="D15" s="165"/>
      <c r="E15" s="165"/>
      <c r="F15" s="170"/>
    </row>
    <row r="16" spans="1:7" ht="12.75" hidden="1" outlineLevel="1" x14ac:dyDescent="0.2">
      <c r="B16" s="227" t="s">
        <v>122</v>
      </c>
      <c r="C16" s="165"/>
      <c r="D16" s="165"/>
      <c r="E16" s="165"/>
      <c r="F16" s="170"/>
    </row>
    <row r="17" spans="1:7" ht="33.75" customHeight="1" x14ac:dyDescent="0.2">
      <c r="B17" s="6"/>
      <c r="C17" s="6"/>
      <c r="D17" s="6"/>
      <c r="E17" s="6"/>
      <c r="F17" s="6"/>
    </row>
    <row r="18" spans="1:7" ht="29.25" customHeight="1" x14ac:dyDescent="0.2">
      <c r="B18" s="195" t="s">
        <v>116</v>
      </c>
      <c r="C18" s="196"/>
      <c r="D18" s="196"/>
      <c r="E18" s="197" t="s">
        <v>80</v>
      </c>
      <c r="F18" s="198"/>
    </row>
    <row r="19" spans="1:7" ht="12.75" x14ac:dyDescent="0.2">
      <c r="B19" s="200" t="s">
        <v>123</v>
      </c>
      <c r="C19" s="165"/>
      <c r="D19" s="165"/>
      <c r="E19" s="165"/>
      <c r="F19" s="170"/>
    </row>
    <row r="20" spans="1:7" ht="11.25" customHeight="1" x14ac:dyDescent="0.2">
      <c r="B20" s="8"/>
      <c r="C20" s="9"/>
      <c r="D20" s="9"/>
      <c r="E20" s="9"/>
      <c r="F20" s="11"/>
    </row>
    <row r="21" spans="1:7" ht="12.75" x14ac:dyDescent="0.2">
      <c r="B21" s="200" t="s">
        <v>124</v>
      </c>
      <c r="C21" s="165"/>
      <c r="D21" s="165"/>
      <c r="E21" s="165"/>
      <c r="F21" s="170"/>
    </row>
    <row r="22" spans="1:7" ht="8.25" customHeight="1" x14ac:dyDescent="0.2">
      <c r="B22" s="15"/>
      <c r="F22" s="17"/>
    </row>
    <row r="23" spans="1:7" ht="12.75" x14ac:dyDescent="0.2">
      <c r="B23" s="15"/>
      <c r="C23" s="18" t="s">
        <v>105</v>
      </c>
      <c r="E23" s="18" t="s">
        <v>91</v>
      </c>
      <c r="F23" s="17"/>
    </row>
    <row r="24" spans="1:7" ht="104.25" customHeight="1" x14ac:dyDescent="0.2">
      <c r="B24" s="15"/>
      <c r="C24" s="66" t="s">
        <v>125</v>
      </c>
      <c r="D24" s="208" t="s">
        <v>93</v>
      </c>
      <c r="E24" s="228" t="e">
        <f ca="1">claudeMessages($C27,'Tutorial How-To'!$E$37,"temperature",0, "system", C24)</f>
        <v>#NAME?</v>
      </c>
      <c r="F24" s="17"/>
    </row>
    <row r="25" spans="1:7" ht="8.25" customHeight="1" x14ac:dyDescent="0.2">
      <c r="A25" s="55"/>
      <c r="B25" s="56"/>
      <c r="C25" s="59"/>
      <c r="D25" s="165"/>
      <c r="E25" s="206"/>
      <c r="F25" s="55"/>
      <c r="G25" s="56"/>
    </row>
    <row r="26" spans="1:7" ht="12.75" x14ac:dyDescent="0.2">
      <c r="B26" s="15"/>
      <c r="C26" s="18" t="s">
        <v>90</v>
      </c>
      <c r="D26" s="165"/>
      <c r="E26" s="206"/>
      <c r="F26" s="17"/>
    </row>
    <row r="27" spans="1:7" ht="82.5" customHeight="1" x14ac:dyDescent="0.2">
      <c r="B27" s="15"/>
      <c r="C27" s="225" t="s">
        <v>126</v>
      </c>
      <c r="D27" s="165"/>
      <c r="E27" s="206"/>
      <c r="F27" s="17"/>
    </row>
    <row r="28" spans="1:7" ht="82.5" customHeight="1" x14ac:dyDescent="0.2">
      <c r="B28" s="15"/>
      <c r="C28" s="207"/>
      <c r="D28" s="165"/>
      <c r="E28" s="207"/>
      <c r="F28" s="17"/>
    </row>
    <row r="29" spans="1:7" ht="15.75" customHeight="1" x14ac:dyDescent="0.2">
      <c r="B29" s="15"/>
      <c r="F29" s="17"/>
    </row>
    <row r="30" spans="1:7" ht="14.25" collapsed="1" x14ac:dyDescent="0.2">
      <c r="B30" s="65" t="s">
        <v>120</v>
      </c>
      <c r="C30" s="224" t="s">
        <v>121</v>
      </c>
      <c r="D30" s="165"/>
      <c r="E30" s="165"/>
      <c r="F30" s="170"/>
    </row>
    <row r="31" spans="1:7" ht="12.75" hidden="1" outlineLevel="1" x14ac:dyDescent="0.2">
      <c r="B31" s="226" t="s">
        <v>127</v>
      </c>
      <c r="C31" s="188"/>
      <c r="D31" s="188"/>
      <c r="E31" s="188"/>
      <c r="F31" s="189"/>
    </row>
    <row r="32" spans="1:7" ht="12.75" x14ac:dyDescent="0.2">
      <c r="B32" s="6"/>
      <c r="C32" s="6"/>
      <c r="D32" s="6"/>
      <c r="E32" s="6"/>
      <c r="F32" s="6"/>
    </row>
    <row r="33" spans="2:6" ht="14.25" x14ac:dyDescent="0.2">
      <c r="B33" s="221" t="s">
        <v>128</v>
      </c>
      <c r="C33" s="165"/>
      <c r="D33" s="62"/>
      <c r="E33" s="175" t="s">
        <v>129</v>
      </c>
      <c r="F33" s="165"/>
    </row>
    <row r="35" spans="2:6" ht="14.25" x14ac:dyDescent="0.2">
      <c r="B35" s="222" t="s">
        <v>80</v>
      </c>
      <c r="C35" s="165"/>
      <c r="D35" s="165"/>
      <c r="E35" s="165"/>
      <c r="F35" s="165"/>
    </row>
    <row r="36" spans="2:6" ht="14.25" x14ac:dyDescent="0.2">
      <c r="B36" s="222" t="s">
        <v>113</v>
      </c>
      <c r="C36" s="165"/>
      <c r="D36" s="165"/>
      <c r="E36" s="165"/>
      <c r="F36" s="165"/>
    </row>
  </sheetData>
  <mergeCells count="21">
    <mergeCell ref="B33:C33"/>
    <mergeCell ref="E33:F33"/>
    <mergeCell ref="B35:F35"/>
    <mergeCell ref="B36:F36"/>
    <mergeCell ref="B16:F16"/>
    <mergeCell ref="B18:D18"/>
    <mergeCell ref="E18:F18"/>
    <mergeCell ref="B19:F19"/>
    <mergeCell ref="B21:F21"/>
    <mergeCell ref="D24:D28"/>
    <mergeCell ref="E24:E28"/>
    <mergeCell ref="B10:F10"/>
    <mergeCell ref="C15:F15"/>
    <mergeCell ref="C27:C28"/>
    <mergeCell ref="C30:F30"/>
    <mergeCell ref="B31:F31"/>
    <mergeCell ref="B1:E1"/>
    <mergeCell ref="B3:C3"/>
    <mergeCell ref="B7:D7"/>
    <mergeCell ref="E7:F7"/>
    <mergeCell ref="B8:F8"/>
  </mergeCells>
  <conditionalFormatting sqref="E13">
    <cfRule type="expression" dxfId="34" priority="1">
      <formula>AND(REGEXMATCH(E13,"1"), REGEXMATCH(E13,"2"), REGEXMATCH(E13,"3"))</formula>
    </cfRule>
  </conditionalFormatting>
  <conditionalFormatting sqref="E22:E23">
    <cfRule type="containsText" dxfId="33" priority="3" operator="containsText" text="blue">
      <formula>NOT(ISERROR(SEARCH(("blue"),(E22))))</formula>
    </cfRule>
  </conditionalFormatting>
  <conditionalFormatting sqref="E24:E25">
    <cfRule type="expression" dxfId="32" priority="2">
      <formula>OR(ISNUMBER(SEARCH("*giggles*",E24)),ISNUMBER(SEARCH("soo",E24)))</formula>
    </cfRule>
  </conditionalFormatting>
  <hyperlinks>
    <hyperlink ref="C4" location="C1Exercise1" display="Exercise 1.1 - Counting to Three" xr:uid="{00000000-0004-0000-0400-000000000000}"/>
    <hyperlink ref="C5" location="C1Exercise2" display="Exercise 1.2 - System Prompt" xr:uid="{00000000-0004-0000-0400-000001000000}"/>
    <hyperlink ref="E7" location="C1ExerciseTitle" display="Back to top ↑" xr:uid="{00000000-0004-0000-0400-000002000000}"/>
    <hyperlink ref="E18" location="C1ExerciseTitle" display="Back to top ↑" xr:uid="{00000000-0004-0000-0400-000003000000}"/>
    <hyperlink ref="B33" location="C1LessonTitle" display="← Chapter 1: Basic Prompt Structure" xr:uid="{00000000-0004-0000-0400-000004000000}"/>
    <hyperlink ref="E33" location="C2LessonTitle" display="Chapter 2: Being Clear and Direct →" xr:uid="{00000000-0004-0000-0400-000005000000}"/>
    <hyperlink ref="B35" location="C1ExerciseTitle" display="Back to top ↑" xr:uid="{00000000-0004-0000-0400-000006000000}"/>
    <hyperlink ref="B36" location="IntroTitle" display="Table of Contents" xr:uid="{00000000-0004-0000-0400-000007000000}"/>
  </hyperlinks>
  <pageMargins left="0.7" right="0.7" top="0.75" bottom="0.75" header="0.3" footer="0.3"/>
  <pageSetup paperSize="9" scale="80"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3C47D"/>
    <outlinePr summaryBelow="0" summaryRight="0"/>
    <pageSetUpPr fitToPage="1"/>
  </sheetPr>
  <dimension ref="A1:G64"/>
  <sheetViews>
    <sheetView showGridLines="0" view="pageBreakPreview" topLeftCell="A49" zoomScale="60" zoomScaleNormal="100" workbookViewId="0"/>
  </sheetViews>
  <sheetFormatPr defaultColWidth="12.5703125" defaultRowHeight="15.75" customHeight="1" x14ac:dyDescent="0.2"/>
  <cols>
    <col min="1" max="1" width="5.42578125" customWidth="1"/>
    <col min="2" max="2" width="3" customWidth="1"/>
    <col min="3" max="3" width="50.42578125" customWidth="1"/>
    <col min="4" max="4" width="4" customWidth="1"/>
    <col min="5" max="5" width="55.7109375" customWidth="1"/>
    <col min="6" max="6" width="3" customWidth="1"/>
    <col min="7" max="7" width="5.42578125" customWidth="1"/>
  </cols>
  <sheetData>
    <row r="1" spans="1:7" ht="32.25" customHeight="1" x14ac:dyDescent="0.4">
      <c r="A1" s="67"/>
      <c r="B1" s="229" t="s">
        <v>55</v>
      </c>
      <c r="C1" s="165"/>
      <c r="D1" s="165"/>
      <c r="E1" s="165"/>
      <c r="F1" s="68"/>
      <c r="G1" s="68"/>
    </row>
    <row r="2" spans="1:7" ht="21.75" customHeight="1" x14ac:dyDescent="0.2">
      <c r="A2" s="56"/>
      <c r="B2" s="56"/>
      <c r="C2" s="56"/>
      <c r="D2" s="56"/>
      <c r="E2" s="56"/>
      <c r="F2" s="56"/>
      <c r="G2" s="56"/>
    </row>
    <row r="3" spans="1:7" ht="21.75" customHeight="1" x14ac:dyDescent="0.3">
      <c r="A3" s="56"/>
      <c r="B3" s="230" t="s">
        <v>76</v>
      </c>
      <c r="C3" s="165"/>
      <c r="D3" s="56"/>
      <c r="E3" s="56"/>
      <c r="F3" s="56"/>
      <c r="G3" s="56"/>
    </row>
    <row r="4" spans="1:7" ht="15.75" customHeight="1" x14ac:dyDescent="0.2">
      <c r="A4" s="56"/>
      <c r="B4" s="56"/>
      <c r="C4" s="70" t="s">
        <v>53</v>
      </c>
      <c r="D4" s="56"/>
      <c r="E4" s="56"/>
      <c r="F4" s="56"/>
      <c r="G4" s="56"/>
    </row>
    <row r="5" spans="1:7" ht="15.75" customHeight="1" x14ac:dyDescent="0.2">
      <c r="A5" s="56"/>
      <c r="B5" s="56"/>
      <c r="C5" s="70" t="s">
        <v>77</v>
      </c>
      <c r="D5" s="56"/>
      <c r="E5" s="56"/>
      <c r="F5" s="56"/>
      <c r="G5" s="56"/>
    </row>
    <row r="6" spans="1:7" ht="15.75" customHeight="1" x14ac:dyDescent="0.2">
      <c r="A6" s="56" t="s">
        <v>78</v>
      </c>
      <c r="B6" s="56"/>
      <c r="C6" s="70" t="s">
        <v>79</v>
      </c>
      <c r="D6" s="56"/>
      <c r="E6" s="56"/>
      <c r="F6" s="56"/>
      <c r="G6" s="56"/>
    </row>
    <row r="7" spans="1:7" ht="33.75" customHeight="1" x14ac:dyDescent="0.2">
      <c r="A7" s="56"/>
      <c r="B7" s="71"/>
      <c r="C7" s="71"/>
      <c r="D7" s="71"/>
      <c r="E7" s="71"/>
      <c r="F7" s="71"/>
      <c r="G7" s="56"/>
    </row>
    <row r="8" spans="1:7" ht="29.25" customHeight="1" x14ac:dyDescent="0.2">
      <c r="A8" s="72"/>
      <c r="B8" s="231" t="s">
        <v>53</v>
      </c>
      <c r="C8" s="165"/>
      <c r="D8" s="165"/>
      <c r="E8" s="232" t="s">
        <v>80</v>
      </c>
      <c r="F8" s="170"/>
      <c r="G8" s="73"/>
    </row>
    <row r="9" spans="1:7" ht="12.75" x14ac:dyDescent="0.2">
      <c r="A9" s="55"/>
      <c r="B9" s="233" t="s">
        <v>130</v>
      </c>
      <c r="C9" s="165"/>
      <c r="D9" s="165"/>
      <c r="E9" s="165"/>
      <c r="F9" s="170"/>
      <c r="G9" s="56"/>
    </row>
    <row r="10" spans="1:7" ht="11.25" customHeight="1" x14ac:dyDescent="0.2">
      <c r="A10" s="55"/>
      <c r="B10" s="56"/>
      <c r="C10" s="56"/>
      <c r="D10" s="56"/>
      <c r="E10" s="56"/>
      <c r="F10" s="55"/>
      <c r="G10" s="56"/>
    </row>
    <row r="11" spans="1:7" ht="12.75" x14ac:dyDescent="0.2">
      <c r="A11" s="55"/>
      <c r="B11" s="234" t="s">
        <v>131</v>
      </c>
      <c r="C11" s="188"/>
      <c r="D11" s="188"/>
      <c r="E11" s="188"/>
      <c r="F11" s="189"/>
      <c r="G11" s="56"/>
    </row>
    <row r="12" spans="1:7" ht="33.75" customHeight="1" x14ac:dyDescent="0.2">
      <c r="A12" s="56"/>
      <c r="B12" s="71"/>
      <c r="C12" s="71"/>
      <c r="D12" s="71"/>
      <c r="E12" s="71"/>
      <c r="F12" s="71"/>
      <c r="G12" s="56"/>
    </row>
    <row r="13" spans="1:7" ht="29.25" customHeight="1" x14ac:dyDescent="0.2">
      <c r="A13" s="55"/>
      <c r="B13" s="231" t="s">
        <v>77</v>
      </c>
      <c r="C13" s="165"/>
      <c r="D13" s="165"/>
      <c r="E13" s="232" t="s">
        <v>80</v>
      </c>
      <c r="F13" s="170"/>
      <c r="G13" s="56"/>
    </row>
    <row r="14" spans="1:7" ht="12.75" x14ac:dyDescent="0.2">
      <c r="A14" s="55"/>
      <c r="B14" s="215" t="s">
        <v>132</v>
      </c>
      <c r="C14" s="165"/>
      <c r="D14" s="165"/>
      <c r="E14" s="165"/>
      <c r="F14" s="170"/>
      <c r="G14" s="56"/>
    </row>
    <row r="15" spans="1:7" ht="8.25" customHeight="1" x14ac:dyDescent="0.2">
      <c r="A15" s="55"/>
      <c r="B15" s="56"/>
      <c r="C15" s="56"/>
      <c r="D15" s="56"/>
      <c r="E15" s="56"/>
      <c r="F15" s="55"/>
      <c r="G15" s="56"/>
    </row>
    <row r="16" spans="1:7" ht="12.75" x14ac:dyDescent="0.2">
      <c r="A16" s="55"/>
      <c r="B16" s="56"/>
      <c r="C16" s="57" t="s">
        <v>90</v>
      </c>
      <c r="D16" s="56"/>
      <c r="E16" s="57" t="s">
        <v>91</v>
      </c>
      <c r="F16" s="55"/>
      <c r="G16" s="56"/>
    </row>
    <row r="17" spans="1:7" ht="65.25" customHeight="1" x14ac:dyDescent="0.2">
      <c r="A17" s="55"/>
      <c r="B17" s="58"/>
      <c r="C17" s="74" t="s">
        <v>133</v>
      </c>
      <c r="D17" s="75" t="s">
        <v>93</v>
      </c>
      <c r="E17" s="48" t="e">
        <f ca="1">claudeMessages($C17,'Tutorial How-To'!$E$37,"temperature",0)</f>
        <v>#NAME?</v>
      </c>
      <c r="F17" s="55"/>
      <c r="G17" s="56"/>
    </row>
    <row r="18" spans="1:7" ht="22.5" customHeight="1" x14ac:dyDescent="0.2">
      <c r="A18" s="55"/>
      <c r="B18" s="56"/>
      <c r="C18" s="56"/>
      <c r="D18" s="56"/>
      <c r="E18" s="56"/>
      <c r="F18" s="55"/>
      <c r="G18" s="56"/>
    </row>
    <row r="19" spans="1:7" ht="14.25" x14ac:dyDescent="0.2">
      <c r="A19" s="55"/>
      <c r="B19" s="235" t="s">
        <v>134</v>
      </c>
      <c r="C19" s="165"/>
      <c r="D19" s="165"/>
      <c r="E19" s="165"/>
      <c r="F19" s="170"/>
      <c r="G19" s="56"/>
    </row>
    <row r="20" spans="1:7" ht="8.25" customHeight="1" x14ac:dyDescent="0.2">
      <c r="A20" s="55"/>
      <c r="B20" s="56"/>
      <c r="C20" s="56"/>
      <c r="D20" s="56"/>
      <c r="E20" s="56"/>
      <c r="F20" s="55"/>
      <c r="G20" s="56"/>
    </row>
    <row r="21" spans="1:7" ht="12.75" x14ac:dyDescent="0.2">
      <c r="A21" s="55"/>
      <c r="B21" s="56"/>
      <c r="C21" s="57" t="s">
        <v>90</v>
      </c>
      <c r="D21" s="56"/>
      <c r="E21" s="57" t="s">
        <v>91</v>
      </c>
      <c r="F21" s="55"/>
      <c r="G21" s="56"/>
    </row>
    <row r="22" spans="1:7" ht="77.25" customHeight="1" x14ac:dyDescent="0.2">
      <c r="A22" s="55"/>
      <c r="B22" s="58"/>
      <c r="C22" s="74" t="s">
        <v>135</v>
      </c>
      <c r="D22" s="76" t="s">
        <v>93</v>
      </c>
      <c r="E22" s="48" t="e">
        <f ca="1">claudeMessages($C22,'Tutorial How-To'!$E$37,"temperature",0)</f>
        <v>#NAME?</v>
      </c>
      <c r="F22" s="55"/>
      <c r="G22" s="56"/>
    </row>
    <row r="23" spans="1:7" ht="22.5" customHeight="1" x14ac:dyDescent="0.2">
      <c r="A23" s="55"/>
      <c r="B23" s="56"/>
      <c r="C23" s="56"/>
      <c r="D23" s="56"/>
      <c r="E23" s="56"/>
      <c r="F23" s="55"/>
      <c r="G23" s="56"/>
    </row>
    <row r="24" spans="1:7" ht="12.75" x14ac:dyDescent="0.2">
      <c r="A24" s="55"/>
      <c r="B24" s="215" t="s">
        <v>136</v>
      </c>
      <c r="C24" s="165"/>
      <c r="D24" s="165"/>
      <c r="E24" s="165"/>
      <c r="F24" s="170"/>
      <c r="G24" s="56"/>
    </row>
    <row r="25" spans="1:7" ht="8.25" customHeight="1" x14ac:dyDescent="0.2">
      <c r="A25" s="55"/>
      <c r="B25" s="56"/>
      <c r="C25" s="56"/>
      <c r="D25" s="56"/>
      <c r="E25" s="56"/>
      <c r="F25" s="55"/>
      <c r="G25" s="56"/>
    </row>
    <row r="26" spans="1:7" ht="12.75" x14ac:dyDescent="0.2">
      <c r="A26" s="55"/>
      <c r="B26" s="56"/>
      <c r="C26" s="57" t="s">
        <v>90</v>
      </c>
      <c r="D26" s="56"/>
      <c r="E26" s="57" t="s">
        <v>91</v>
      </c>
      <c r="F26" s="55"/>
      <c r="G26" s="56"/>
    </row>
    <row r="27" spans="1:7" ht="153.75" customHeight="1" x14ac:dyDescent="0.2">
      <c r="A27" s="55"/>
      <c r="B27" s="58"/>
      <c r="C27" s="236" t="s">
        <v>137</v>
      </c>
      <c r="D27" s="76" t="s">
        <v>93</v>
      </c>
      <c r="E27" s="238" t="e">
        <f ca="1">claudeMessages($C27,'Tutorial How-To'!$E$37,"temperature",0)</f>
        <v>#NAME?</v>
      </c>
      <c r="F27" s="55"/>
      <c r="G27" s="56"/>
    </row>
    <row r="28" spans="1:7" ht="153.75" customHeight="1" x14ac:dyDescent="0.2">
      <c r="A28" s="55"/>
      <c r="B28" s="58"/>
      <c r="C28" s="237"/>
      <c r="D28" s="58"/>
      <c r="E28" s="207"/>
      <c r="F28" s="55"/>
      <c r="G28" s="56"/>
    </row>
    <row r="29" spans="1:7" ht="12.75" x14ac:dyDescent="0.2">
      <c r="A29" s="55"/>
      <c r="B29" s="56"/>
      <c r="C29" s="56"/>
      <c r="D29" s="56"/>
      <c r="E29" s="56"/>
      <c r="F29" s="55"/>
      <c r="G29" s="56"/>
    </row>
    <row r="30" spans="1:7" ht="14.25" x14ac:dyDescent="0.2">
      <c r="A30" s="55"/>
      <c r="B30" s="235" t="s">
        <v>138</v>
      </c>
      <c r="C30" s="165"/>
      <c r="D30" s="165"/>
      <c r="E30" s="165"/>
      <c r="F30" s="170"/>
      <c r="G30" s="56"/>
    </row>
    <row r="31" spans="1:7" ht="8.25" customHeight="1" x14ac:dyDescent="0.2">
      <c r="A31" s="55"/>
      <c r="B31" s="56"/>
      <c r="C31" s="56"/>
      <c r="D31" s="56"/>
      <c r="E31" s="56"/>
      <c r="F31" s="55"/>
      <c r="G31" s="56"/>
    </row>
    <row r="32" spans="1:7" ht="12.75" x14ac:dyDescent="0.2">
      <c r="A32" s="55"/>
      <c r="B32" s="56"/>
      <c r="C32" s="57" t="s">
        <v>90</v>
      </c>
      <c r="D32" s="56"/>
      <c r="E32" s="57" t="s">
        <v>91</v>
      </c>
      <c r="F32" s="55"/>
      <c r="G32" s="56"/>
    </row>
    <row r="33" spans="1:7" ht="123" customHeight="1" x14ac:dyDescent="0.2">
      <c r="A33" s="55"/>
      <c r="B33" s="58"/>
      <c r="C33" s="240" t="s">
        <v>139</v>
      </c>
      <c r="D33" s="76" t="s">
        <v>93</v>
      </c>
      <c r="E33" s="245" t="e">
        <f ca="1">claudeMessages($C33,'Tutorial How-To'!$E$37,"temperature",0)</f>
        <v>#NAME?</v>
      </c>
      <c r="F33" s="55"/>
      <c r="G33" s="56"/>
    </row>
    <row r="34" spans="1:7" ht="123" customHeight="1" x14ac:dyDescent="0.2">
      <c r="A34" s="55"/>
      <c r="B34" s="58"/>
      <c r="C34" s="218"/>
      <c r="D34" s="58"/>
      <c r="E34" s="206"/>
      <c r="F34" s="55"/>
      <c r="G34" s="56"/>
    </row>
    <row r="35" spans="1:7" ht="123" customHeight="1" x14ac:dyDescent="0.2">
      <c r="A35" s="55"/>
      <c r="B35" s="58"/>
      <c r="C35" s="237"/>
      <c r="D35" s="58"/>
      <c r="E35" s="207"/>
      <c r="F35" s="55"/>
      <c r="G35" s="56"/>
    </row>
    <row r="36" spans="1:7" ht="15.75" customHeight="1" x14ac:dyDescent="0.2">
      <c r="A36" s="55"/>
      <c r="B36" s="56"/>
      <c r="C36" s="56"/>
      <c r="D36" s="56"/>
      <c r="E36" s="56"/>
      <c r="F36" s="55"/>
      <c r="G36" s="56"/>
    </row>
    <row r="37" spans="1:7" ht="33.75" customHeight="1" x14ac:dyDescent="0.2">
      <c r="A37" s="55"/>
      <c r="B37" s="234" t="s">
        <v>140</v>
      </c>
      <c r="C37" s="188"/>
      <c r="D37" s="188"/>
      <c r="E37" s="188"/>
      <c r="F37" s="189"/>
      <c r="G37" s="56"/>
    </row>
    <row r="38" spans="1:7" ht="15.75" customHeight="1" x14ac:dyDescent="0.2">
      <c r="A38" s="56"/>
      <c r="B38" s="56"/>
      <c r="C38" s="56"/>
      <c r="D38" s="56"/>
      <c r="E38" s="56"/>
      <c r="F38" s="56"/>
      <c r="G38" s="56"/>
    </row>
    <row r="39" spans="1:7" ht="14.25" x14ac:dyDescent="0.2">
      <c r="A39" s="56"/>
      <c r="B39" s="56"/>
      <c r="C39" s="56"/>
      <c r="D39" s="56"/>
      <c r="E39" s="246" t="s">
        <v>141</v>
      </c>
      <c r="F39" s="165"/>
      <c r="G39" s="56"/>
    </row>
    <row r="40" spans="1:7" ht="29.25" customHeight="1" x14ac:dyDescent="0.2">
      <c r="A40" s="56"/>
      <c r="B40" s="56"/>
      <c r="C40" s="56"/>
      <c r="D40" s="56"/>
      <c r="E40" s="56"/>
      <c r="F40" s="56"/>
      <c r="G40" s="56"/>
    </row>
    <row r="41" spans="1:7" ht="20.25" x14ac:dyDescent="0.2">
      <c r="A41" s="55"/>
      <c r="B41" s="247" t="s">
        <v>79</v>
      </c>
      <c r="C41" s="248"/>
      <c r="D41" s="248"/>
      <c r="E41" s="249" t="s">
        <v>80</v>
      </c>
      <c r="F41" s="250"/>
      <c r="G41" s="56"/>
    </row>
    <row r="42" spans="1:7" ht="71.25" customHeight="1" x14ac:dyDescent="0.2">
      <c r="A42" s="55"/>
      <c r="B42" s="215" t="s">
        <v>142</v>
      </c>
      <c r="C42" s="165"/>
      <c r="D42" s="165"/>
      <c r="E42" s="165"/>
      <c r="F42" s="170"/>
      <c r="G42" s="56"/>
    </row>
    <row r="43" spans="1:7" ht="8.25" customHeight="1" x14ac:dyDescent="0.2">
      <c r="A43" s="55"/>
      <c r="B43" s="56"/>
      <c r="C43" s="56"/>
      <c r="D43" s="56"/>
      <c r="E43" s="56"/>
      <c r="F43" s="55"/>
      <c r="G43" s="56"/>
    </row>
    <row r="44" spans="1:7" ht="12.75" x14ac:dyDescent="0.2">
      <c r="A44" s="55"/>
      <c r="B44" s="56"/>
      <c r="C44" s="57" t="s">
        <v>90</v>
      </c>
      <c r="D44" s="56"/>
      <c r="E44" s="57" t="s">
        <v>91</v>
      </c>
      <c r="F44" s="55"/>
      <c r="G44" s="56"/>
    </row>
    <row r="45" spans="1:7" ht="65.25" customHeight="1" x14ac:dyDescent="0.2">
      <c r="A45" s="55"/>
      <c r="B45" s="58"/>
      <c r="C45" s="74" t="s">
        <v>133</v>
      </c>
      <c r="D45" s="75" t="s">
        <v>93</v>
      </c>
      <c r="E45" s="48" t="e">
        <f ca="1">claudeMessages($C45,'Tutorial How-To'!$E$37,"temperature",0)</f>
        <v>#NAME?</v>
      </c>
      <c r="F45" s="55"/>
      <c r="G45" s="56"/>
    </row>
    <row r="46" spans="1:7" ht="8.25" customHeight="1" x14ac:dyDescent="0.2">
      <c r="A46" s="55"/>
      <c r="B46" s="56"/>
      <c r="C46" s="56"/>
      <c r="D46" s="56"/>
      <c r="E46" s="56"/>
      <c r="F46" s="55"/>
      <c r="G46" s="56"/>
    </row>
    <row r="47" spans="1:7" ht="77.25" customHeight="1" x14ac:dyDescent="0.2">
      <c r="A47" s="55"/>
      <c r="B47" s="58"/>
      <c r="C47" s="74" t="s">
        <v>135</v>
      </c>
      <c r="D47" s="76" t="s">
        <v>93</v>
      </c>
      <c r="E47" s="48" t="e">
        <f ca="1">claudeMessages($C47,'Tutorial How-To'!$E$37,"temperature",0)</f>
        <v>#NAME?</v>
      </c>
      <c r="F47" s="55"/>
      <c r="G47" s="56"/>
    </row>
    <row r="48" spans="1:7" ht="8.25" customHeight="1" x14ac:dyDescent="0.2">
      <c r="A48" s="55"/>
      <c r="B48" s="56"/>
      <c r="C48" s="56"/>
      <c r="D48" s="56"/>
      <c r="E48" s="56"/>
      <c r="F48" s="55"/>
      <c r="G48" s="56"/>
    </row>
    <row r="49" spans="1:7" ht="153.75" customHeight="1" x14ac:dyDescent="0.2">
      <c r="A49" s="55"/>
      <c r="B49" s="58"/>
      <c r="C49" s="236" t="s">
        <v>137</v>
      </c>
      <c r="D49" s="76" t="s">
        <v>93</v>
      </c>
      <c r="E49" s="239" t="e">
        <f ca="1">claudeMessages($C49,'Tutorial How-To'!$E$37,"temperature",0)</f>
        <v>#NAME?</v>
      </c>
      <c r="F49" s="55"/>
      <c r="G49" s="56"/>
    </row>
    <row r="50" spans="1:7" ht="153.75" customHeight="1" x14ac:dyDescent="0.2">
      <c r="A50" s="55"/>
      <c r="B50" s="58"/>
      <c r="C50" s="237"/>
      <c r="D50" s="58"/>
      <c r="E50" s="237"/>
      <c r="F50" s="55"/>
      <c r="G50" s="56"/>
    </row>
    <row r="51" spans="1:7" ht="12.75" x14ac:dyDescent="0.2">
      <c r="A51" s="55"/>
      <c r="B51" s="56"/>
      <c r="C51" s="77"/>
      <c r="D51" s="56"/>
      <c r="E51" s="77"/>
      <c r="F51" s="55"/>
      <c r="G51" s="56"/>
    </row>
    <row r="52" spans="1:7" ht="123" customHeight="1" x14ac:dyDescent="0.2">
      <c r="A52" s="55"/>
      <c r="B52" s="58"/>
      <c r="C52" s="240" t="s">
        <v>139</v>
      </c>
      <c r="D52" s="76" t="s">
        <v>93</v>
      </c>
      <c r="E52" s="241" t="e">
        <f ca="1">claudeMessages($C52,'Tutorial How-To'!$E$37,"temperature",0)</f>
        <v>#NAME?</v>
      </c>
      <c r="F52" s="55"/>
      <c r="G52" s="56"/>
    </row>
    <row r="53" spans="1:7" ht="123" customHeight="1" x14ac:dyDescent="0.2">
      <c r="A53" s="55"/>
      <c r="B53" s="58"/>
      <c r="C53" s="218"/>
      <c r="D53" s="58"/>
      <c r="E53" s="218"/>
      <c r="F53" s="55"/>
      <c r="G53" s="56"/>
    </row>
    <row r="54" spans="1:7" ht="123" customHeight="1" x14ac:dyDescent="0.2">
      <c r="A54" s="55"/>
      <c r="B54" s="58"/>
      <c r="C54" s="237"/>
      <c r="D54" s="58"/>
      <c r="E54" s="237"/>
      <c r="F54" s="55"/>
      <c r="G54" s="56"/>
    </row>
    <row r="55" spans="1:7" ht="12.75" x14ac:dyDescent="0.2">
      <c r="A55" s="55"/>
      <c r="B55" s="71"/>
      <c r="C55" s="71"/>
      <c r="D55" s="71"/>
      <c r="E55" s="71"/>
      <c r="F55" s="78"/>
      <c r="G55" s="56"/>
    </row>
    <row r="56" spans="1:7" ht="12.75" x14ac:dyDescent="0.2">
      <c r="A56" s="56"/>
      <c r="B56" s="56"/>
      <c r="C56" s="56"/>
      <c r="D56" s="56"/>
      <c r="E56" s="56"/>
      <c r="F56" s="56"/>
      <c r="G56" s="56"/>
    </row>
    <row r="57" spans="1:7" ht="14.25" x14ac:dyDescent="0.2">
      <c r="A57" s="56"/>
      <c r="B57" s="242" t="s">
        <v>143</v>
      </c>
      <c r="C57" s="165"/>
      <c r="D57" s="165"/>
      <c r="E57" s="243" t="s">
        <v>141</v>
      </c>
      <c r="F57" s="165"/>
      <c r="G57" s="56"/>
    </row>
    <row r="58" spans="1:7" ht="12.75" x14ac:dyDescent="0.2">
      <c r="A58" s="56"/>
      <c r="B58" s="56"/>
      <c r="C58" s="56"/>
      <c r="D58" s="56"/>
      <c r="E58" s="56"/>
      <c r="F58" s="56"/>
      <c r="G58" s="56"/>
    </row>
    <row r="59" spans="1:7" ht="14.25" x14ac:dyDescent="0.2">
      <c r="A59" s="56"/>
      <c r="B59" s="244" t="s">
        <v>80</v>
      </c>
      <c r="C59" s="165"/>
      <c r="D59" s="165"/>
      <c r="E59" s="165"/>
      <c r="F59" s="165"/>
      <c r="G59" s="56"/>
    </row>
    <row r="60" spans="1:7" ht="14.25" x14ac:dyDescent="0.2">
      <c r="A60" s="56"/>
      <c r="B60" s="244" t="s">
        <v>113</v>
      </c>
      <c r="C60" s="165"/>
      <c r="D60" s="165"/>
      <c r="E60" s="165"/>
      <c r="F60" s="165"/>
      <c r="G60" s="56"/>
    </row>
    <row r="61" spans="1:7" ht="12.75" x14ac:dyDescent="0.2">
      <c r="A61" s="56"/>
      <c r="B61" s="56"/>
      <c r="C61" s="56"/>
      <c r="D61" s="56"/>
      <c r="E61" s="56"/>
      <c r="F61" s="56"/>
      <c r="G61" s="56"/>
    </row>
    <row r="62" spans="1:7" ht="12.75" x14ac:dyDescent="0.2">
      <c r="A62" s="56"/>
      <c r="B62" s="56"/>
      <c r="C62" s="56"/>
      <c r="D62" s="56"/>
      <c r="E62" s="56"/>
      <c r="F62" s="56"/>
      <c r="G62" s="56"/>
    </row>
    <row r="63" spans="1:7" ht="12.75" x14ac:dyDescent="0.2">
      <c r="A63" s="56"/>
      <c r="B63" s="56"/>
      <c r="C63" s="56"/>
      <c r="D63" s="56"/>
      <c r="E63" s="56"/>
      <c r="F63" s="56"/>
      <c r="G63" s="56"/>
    </row>
    <row r="64" spans="1:7" ht="12.75" x14ac:dyDescent="0.2">
      <c r="A64" s="56"/>
      <c r="B64" s="56"/>
      <c r="C64" s="56"/>
      <c r="D64" s="56"/>
      <c r="E64" s="56"/>
      <c r="F64" s="56"/>
      <c r="G64" s="56"/>
    </row>
  </sheetData>
  <mergeCells count="29">
    <mergeCell ref="B60:F60"/>
    <mergeCell ref="C33:C35"/>
    <mergeCell ref="E33:E35"/>
    <mergeCell ref="B37:F37"/>
    <mergeCell ref="E39:F39"/>
    <mergeCell ref="B41:D41"/>
    <mergeCell ref="E41:F41"/>
    <mergeCell ref="B42:F42"/>
    <mergeCell ref="C52:C54"/>
    <mergeCell ref="E52:E54"/>
    <mergeCell ref="B57:D57"/>
    <mergeCell ref="E57:F57"/>
    <mergeCell ref="B59:F59"/>
    <mergeCell ref="B24:F24"/>
    <mergeCell ref="C27:C28"/>
    <mergeCell ref="E27:E28"/>
    <mergeCell ref="B30:F30"/>
    <mergeCell ref="C49:C50"/>
    <mergeCell ref="E49:E50"/>
    <mergeCell ref="B11:F11"/>
    <mergeCell ref="E13:F13"/>
    <mergeCell ref="B13:D13"/>
    <mergeCell ref="B14:F14"/>
    <mergeCell ref="B19:F19"/>
    <mergeCell ref="B1:E1"/>
    <mergeCell ref="B3:C3"/>
    <mergeCell ref="B8:D8"/>
    <mergeCell ref="E8:F8"/>
    <mergeCell ref="B9:F9"/>
  </mergeCells>
  <hyperlinks>
    <hyperlink ref="C4" location="C2Lesson" display="Lesson" xr:uid="{00000000-0004-0000-0500-000000000000}"/>
    <hyperlink ref="C5" location="C2Examples" display="Examples" xr:uid="{00000000-0004-0000-0500-000001000000}"/>
    <hyperlink ref="C6" location="C2ExamplePlayground" display="Example Playground" xr:uid="{00000000-0004-0000-0500-000002000000}"/>
    <hyperlink ref="E8" location="C2LessonTitle" display="Back to top ↑" xr:uid="{00000000-0004-0000-0500-000003000000}"/>
    <hyperlink ref="E13" location="C2LessonTitle" display="Back to top ↑" xr:uid="{00000000-0004-0000-0500-000004000000}"/>
    <hyperlink ref="E39" location="C2ExerciseTitle" display="Chapter 2 Exercises: Being Clear and Direct →" xr:uid="{00000000-0004-0000-0500-000005000000}"/>
    <hyperlink ref="E41" location="C2LessonTitle" display="Back to top ↑" xr:uid="{00000000-0004-0000-0500-000006000000}"/>
    <hyperlink ref="B57" location="C1ExerciseTitle" display="← Chapter 1 Exercises: Basic Prompt Structure" xr:uid="{00000000-0004-0000-0500-000007000000}"/>
    <hyperlink ref="E57" location="C2ExerciseTitle" display="Chapter 2 Exercises: Being Clear and Direct →" xr:uid="{00000000-0004-0000-0500-000008000000}"/>
    <hyperlink ref="B59" location="C2LessonTitle" display="Back to top ↑" xr:uid="{00000000-0004-0000-0500-000009000000}"/>
    <hyperlink ref="B60" location="IntroTitle" display="Table of Contents" xr:uid="{00000000-0004-0000-0500-00000A000000}"/>
  </hyperlinks>
  <pageMargins left="0.7" right="0.7" top="0.75" bottom="0.75" header="0.3" footer="0.3"/>
  <pageSetup paperSize="9" scale="70"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3C47D"/>
    <outlinePr summaryBelow="0" summaryRight="0"/>
    <pageSetUpPr fitToPage="1"/>
  </sheetPr>
  <dimension ref="A1:G46"/>
  <sheetViews>
    <sheetView showGridLines="0" view="pageBreakPreview" topLeftCell="A25" zoomScale="60" zoomScaleNormal="100" workbookViewId="0"/>
  </sheetViews>
  <sheetFormatPr defaultColWidth="12.5703125" defaultRowHeight="15.75" customHeight="1" outlineLevelRow="1" x14ac:dyDescent="0.2"/>
  <cols>
    <col min="1" max="1" width="5.42578125" customWidth="1"/>
    <col min="2" max="2" width="3" customWidth="1"/>
    <col min="3" max="3" width="50.42578125" customWidth="1"/>
    <col min="4" max="4" width="4" customWidth="1"/>
    <col min="5" max="5" width="55.7109375" customWidth="1"/>
    <col min="6" max="6" width="3" customWidth="1"/>
    <col min="7" max="7" width="5.42578125" customWidth="1"/>
  </cols>
  <sheetData>
    <row r="1" spans="1:7" ht="32.25" customHeight="1" x14ac:dyDescent="0.4">
      <c r="A1" s="1"/>
      <c r="B1" s="164" t="s">
        <v>144</v>
      </c>
      <c r="C1" s="165"/>
      <c r="D1" s="165"/>
      <c r="E1" s="165"/>
      <c r="F1" s="3"/>
      <c r="G1" s="3"/>
    </row>
    <row r="2" spans="1:7" ht="21.75" customHeight="1" x14ac:dyDescent="0.2"/>
    <row r="3" spans="1:7" ht="21.75" customHeight="1" x14ac:dyDescent="0.3">
      <c r="A3" s="16"/>
      <c r="B3" s="194" t="s">
        <v>76</v>
      </c>
      <c r="C3" s="165"/>
    </row>
    <row r="4" spans="1:7" ht="15.75" customHeight="1" x14ac:dyDescent="0.2">
      <c r="A4" s="16"/>
      <c r="C4" s="40" t="s">
        <v>145</v>
      </c>
    </row>
    <row r="5" spans="1:7" ht="15.75" customHeight="1" x14ac:dyDescent="0.2">
      <c r="A5" s="16"/>
      <c r="C5" s="40" t="s">
        <v>146</v>
      </c>
    </row>
    <row r="6" spans="1:7" ht="15.75" customHeight="1" x14ac:dyDescent="0.2">
      <c r="A6" s="16" t="s">
        <v>78</v>
      </c>
      <c r="C6" s="40" t="s">
        <v>147</v>
      </c>
    </row>
    <row r="7" spans="1:7" ht="33.75" customHeight="1" x14ac:dyDescent="0.2"/>
    <row r="8" spans="1:7" ht="29.25" customHeight="1" x14ac:dyDescent="0.2">
      <c r="A8" s="41"/>
      <c r="B8" s="195" t="s">
        <v>145</v>
      </c>
      <c r="C8" s="196"/>
      <c r="D8" s="196"/>
      <c r="E8" s="197" t="s">
        <v>80</v>
      </c>
      <c r="F8" s="198"/>
      <c r="G8" s="41"/>
    </row>
    <row r="9" spans="1:7" ht="12.75" x14ac:dyDescent="0.2">
      <c r="B9" s="200" t="s">
        <v>148</v>
      </c>
      <c r="C9" s="165"/>
      <c r="D9" s="165"/>
      <c r="E9" s="165"/>
      <c r="F9" s="170"/>
    </row>
    <row r="10" spans="1:7" ht="8.25" customHeight="1" x14ac:dyDescent="0.2">
      <c r="B10" s="15"/>
      <c r="F10" s="17"/>
    </row>
    <row r="11" spans="1:7" ht="15.75" customHeight="1" x14ac:dyDescent="0.2">
      <c r="B11" s="15"/>
      <c r="C11" s="18" t="s">
        <v>105</v>
      </c>
      <c r="E11" s="18" t="s">
        <v>91</v>
      </c>
      <c r="F11" s="17"/>
    </row>
    <row r="12" spans="1:7" ht="75.75" customHeight="1" x14ac:dyDescent="0.2">
      <c r="B12" s="15"/>
      <c r="C12" s="66" t="s">
        <v>125</v>
      </c>
      <c r="D12" s="208" t="s">
        <v>93</v>
      </c>
      <c r="E12" s="210" t="e">
        <f ca="1">claudeMessages($C15,'Tutorial How-To'!$E$37,"temperature",0,"system",$C12)</f>
        <v>#NAME?</v>
      </c>
      <c r="F12" s="17"/>
    </row>
    <row r="13" spans="1:7" ht="8.25" customHeight="1" x14ac:dyDescent="0.2">
      <c r="B13" s="15"/>
      <c r="D13" s="165"/>
      <c r="E13" s="206"/>
      <c r="F13" s="17"/>
    </row>
    <row r="14" spans="1:7" ht="15.75" customHeight="1" x14ac:dyDescent="0.2">
      <c r="B14" s="15"/>
      <c r="C14" s="18" t="s">
        <v>90</v>
      </c>
      <c r="D14" s="165"/>
      <c r="E14" s="206"/>
      <c r="F14" s="17"/>
    </row>
    <row r="15" spans="1:7" ht="75.75" customHeight="1" x14ac:dyDescent="0.2">
      <c r="B15" s="15"/>
      <c r="C15" s="46" t="s">
        <v>149</v>
      </c>
      <c r="D15" s="165"/>
      <c r="E15" s="207"/>
      <c r="F15" s="17"/>
    </row>
    <row r="16" spans="1:7" ht="15.75" customHeight="1" x14ac:dyDescent="0.2">
      <c r="B16" s="15"/>
      <c r="F16" s="17"/>
    </row>
    <row r="17" spans="1:7" ht="14.25" collapsed="1" x14ac:dyDescent="0.2">
      <c r="B17" s="65" t="s">
        <v>120</v>
      </c>
      <c r="C17" s="224" t="s">
        <v>121</v>
      </c>
      <c r="D17" s="165"/>
      <c r="E17" s="165"/>
      <c r="F17" s="170"/>
    </row>
    <row r="18" spans="1:7" ht="12.75" hidden="1" outlineLevel="1" x14ac:dyDescent="0.2">
      <c r="B18" s="227" t="s">
        <v>150</v>
      </c>
      <c r="C18" s="165"/>
      <c r="D18" s="165"/>
      <c r="E18" s="165"/>
      <c r="F18" s="170"/>
    </row>
    <row r="19" spans="1:7" ht="33.75" customHeight="1" x14ac:dyDescent="0.2">
      <c r="B19" s="6"/>
      <c r="C19" s="6"/>
      <c r="D19" s="6"/>
      <c r="E19" s="6"/>
      <c r="F19" s="6"/>
    </row>
    <row r="20" spans="1:7" ht="29.25" customHeight="1" x14ac:dyDescent="0.2">
      <c r="A20" s="41"/>
      <c r="B20" s="195" t="s">
        <v>146</v>
      </c>
      <c r="C20" s="196"/>
      <c r="D20" s="196"/>
      <c r="E20" s="197" t="s">
        <v>80</v>
      </c>
      <c r="F20" s="198"/>
      <c r="G20" s="41"/>
    </row>
    <row r="21" spans="1:7" ht="12.75" x14ac:dyDescent="0.2">
      <c r="B21" s="200" t="s">
        <v>151</v>
      </c>
      <c r="C21" s="165"/>
      <c r="D21" s="165"/>
      <c r="E21" s="165"/>
      <c r="F21" s="170"/>
    </row>
    <row r="22" spans="1:7" ht="8.25" customHeight="1" x14ac:dyDescent="0.2">
      <c r="B22" s="15"/>
      <c r="F22" s="17"/>
    </row>
    <row r="23" spans="1:7" ht="15.75" customHeight="1" x14ac:dyDescent="0.2">
      <c r="B23" s="15"/>
      <c r="C23" s="18" t="s">
        <v>90</v>
      </c>
      <c r="E23" s="18" t="s">
        <v>91</v>
      </c>
      <c r="F23" s="17"/>
    </row>
    <row r="24" spans="1:7" ht="86.25" customHeight="1" x14ac:dyDescent="0.2">
      <c r="B24" s="15"/>
      <c r="C24" s="251" t="s">
        <v>137</v>
      </c>
      <c r="D24" s="208" t="s">
        <v>93</v>
      </c>
      <c r="E24" s="210" t="e">
        <f ca="1">claudeMessages($C24,'Tutorial How-To'!$E$37,"temperature",0)</f>
        <v>#NAME?</v>
      </c>
      <c r="F24" s="17"/>
    </row>
    <row r="25" spans="1:7" ht="86.25" customHeight="1" x14ac:dyDescent="0.2">
      <c r="B25" s="15"/>
      <c r="C25" s="252"/>
      <c r="D25" s="165"/>
      <c r="E25" s="206"/>
      <c r="F25" s="17"/>
    </row>
    <row r="26" spans="1:7" ht="86.25" customHeight="1" x14ac:dyDescent="0.2">
      <c r="B26" s="15"/>
      <c r="C26" s="253"/>
      <c r="D26" s="165"/>
      <c r="E26" s="207"/>
      <c r="F26" s="17"/>
    </row>
    <row r="27" spans="1:7" ht="15.75" customHeight="1" x14ac:dyDescent="0.2">
      <c r="B27" s="15"/>
      <c r="F27" s="17"/>
    </row>
    <row r="28" spans="1:7" ht="14.25" collapsed="1" x14ac:dyDescent="0.2">
      <c r="B28" s="65" t="s">
        <v>120</v>
      </c>
      <c r="C28" s="224" t="s">
        <v>121</v>
      </c>
      <c r="D28" s="165"/>
      <c r="E28" s="165"/>
      <c r="F28" s="170"/>
    </row>
    <row r="29" spans="1:7" ht="12.75" hidden="1" outlineLevel="1" x14ac:dyDescent="0.2">
      <c r="B29" s="227" t="s">
        <v>152</v>
      </c>
      <c r="C29" s="165"/>
      <c r="D29" s="165"/>
      <c r="E29" s="165"/>
      <c r="F29" s="170"/>
    </row>
    <row r="30" spans="1:7" ht="29.25" customHeight="1" x14ac:dyDescent="0.2">
      <c r="B30" s="79"/>
      <c r="C30" s="79"/>
      <c r="D30" s="79"/>
      <c r="E30" s="80"/>
      <c r="F30" s="80"/>
    </row>
    <row r="31" spans="1:7" ht="29.25" customHeight="1" x14ac:dyDescent="0.2">
      <c r="A31" s="41"/>
      <c r="B31" s="195" t="s">
        <v>147</v>
      </c>
      <c r="C31" s="196"/>
      <c r="D31" s="196"/>
      <c r="E31" s="197" t="s">
        <v>80</v>
      </c>
      <c r="F31" s="198"/>
      <c r="G31" s="41"/>
    </row>
    <row r="32" spans="1:7" ht="57.75" customHeight="1" x14ac:dyDescent="0.25">
      <c r="B32" s="200" t="s">
        <v>153</v>
      </c>
      <c r="C32" s="165"/>
      <c r="D32" s="165"/>
      <c r="E32" s="165"/>
      <c r="F32" s="170"/>
    </row>
    <row r="33" spans="2:6" ht="8.25" customHeight="1" x14ac:dyDescent="0.2">
      <c r="B33" s="15"/>
      <c r="F33" s="17"/>
    </row>
    <row r="34" spans="2:6" ht="15.75" customHeight="1" x14ac:dyDescent="0.2">
      <c r="B34" s="15"/>
      <c r="C34" s="18" t="s">
        <v>90</v>
      </c>
      <c r="E34" s="18" t="s">
        <v>91</v>
      </c>
      <c r="F34" s="17"/>
    </row>
    <row r="35" spans="2:6" ht="57.75" customHeight="1" x14ac:dyDescent="0.2">
      <c r="B35" s="15"/>
      <c r="C35" s="251" t="s">
        <v>154</v>
      </c>
      <c r="D35" s="208" t="s">
        <v>93</v>
      </c>
      <c r="E35" s="238" t="e">
        <f ca="1">claudeMessages($C35,'Tutorial How-To'!$E$37,"temperature",0, "max_tokens_to_sample", 4000)</f>
        <v>#NAME?</v>
      </c>
      <c r="F35" s="17"/>
    </row>
    <row r="36" spans="2:6" ht="57.75" customHeight="1" x14ac:dyDescent="0.2">
      <c r="B36" s="15"/>
      <c r="C36" s="252"/>
      <c r="D36" s="165"/>
      <c r="E36" s="206"/>
      <c r="F36" s="17"/>
    </row>
    <row r="37" spans="2:6" ht="57.75" customHeight="1" x14ac:dyDescent="0.2">
      <c r="B37" s="15"/>
      <c r="C37" s="252"/>
      <c r="D37" s="165"/>
      <c r="E37" s="206"/>
      <c r="F37" s="17"/>
    </row>
    <row r="38" spans="2:6" ht="57.75" customHeight="1" x14ac:dyDescent="0.2">
      <c r="B38" s="15"/>
      <c r="C38" s="253"/>
      <c r="D38" s="165"/>
      <c r="E38" s="207"/>
      <c r="F38" s="17"/>
    </row>
    <row r="39" spans="2:6" ht="15.75" customHeight="1" x14ac:dyDescent="0.2">
      <c r="B39" s="15"/>
      <c r="F39" s="17"/>
    </row>
    <row r="40" spans="2:6" ht="14.25" collapsed="1" x14ac:dyDescent="0.2">
      <c r="B40" s="65" t="s">
        <v>120</v>
      </c>
      <c r="C40" s="224" t="s">
        <v>121</v>
      </c>
      <c r="D40" s="165"/>
      <c r="E40" s="165"/>
      <c r="F40" s="170"/>
    </row>
    <row r="41" spans="2:6" ht="12.75" hidden="1" outlineLevel="1" x14ac:dyDescent="0.2">
      <c r="B41" s="227" t="s">
        <v>155</v>
      </c>
      <c r="C41" s="165"/>
      <c r="D41" s="165"/>
      <c r="E41" s="165"/>
      <c r="F41" s="170"/>
    </row>
    <row r="42" spans="2:6" ht="12.75" x14ac:dyDescent="0.2">
      <c r="B42" s="6"/>
      <c r="C42" s="6"/>
      <c r="D42" s="6"/>
      <c r="E42" s="6"/>
      <c r="F42" s="6"/>
    </row>
    <row r="43" spans="2:6" ht="14.25" x14ac:dyDescent="0.2">
      <c r="B43" s="221" t="s">
        <v>156</v>
      </c>
      <c r="C43" s="165"/>
      <c r="D43" s="165"/>
      <c r="E43" s="175" t="s">
        <v>157</v>
      </c>
      <c r="F43" s="165"/>
    </row>
    <row r="44" spans="2:6" ht="8.25" customHeight="1" x14ac:dyDescent="0.2"/>
    <row r="45" spans="2:6" ht="14.25" x14ac:dyDescent="0.2">
      <c r="B45" s="222" t="s">
        <v>80</v>
      </c>
      <c r="C45" s="165"/>
      <c r="D45" s="165"/>
      <c r="E45" s="165"/>
      <c r="F45" s="165"/>
    </row>
    <row r="46" spans="2:6" ht="14.25" x14ac:dyDescent="0.2">
      <c r="B46" s="222" t="s">
        <v>113</v>
      </c>
      <c r="C46" s="165"/>
      <c r="D46" s="165"/>
      <c r="E46" s="165"/>
      <c r="F46" s="165"/>
    </row>
  </sheetData>
  <mergeCells count="29">
    <mergeCell ref="B46:F46"/>
    <mergeCell ref="E24:E26"/>
    <mergeCell ref="C28:F28"/>
    <mergeCell ref="B29:F29"/>
    <mergeCell ref="B31:D31"/>
    <mergeCell ref="E31:F31"/>
    <mergeCell ref="B32:F32"/>
    <mergeCell ref="C35:C38"/>
    <mergeCell ref="C40:F40"/>
    <mergeCell ref="B41:F41"/>
    <mergeCell ref="B43:D43"/>
    <mergeCell ref="E43:F43"/>
    <mergeCell ref="B45:F45"/>
    <mergeCell ref="B21:F21"/>
    <mergeCell ref="C24:C26"/>
    <mergeCell ref="D24:D26"/>
    <mergeCell ref="D35:D38"/>
    <mergeCell ref="E35:E38"/>
    <mergeCell ref="D12:D15"/>
    <mergeCell ref="E12:E15"/>
    <mergeCell ref="C17:F17"/>
    <mergeCell ref="B18:F18"/>
    <mergeCell ref="B20:D20"/>
    <mergeCell ref="E20:F20"/>
    <mergeCell ref="B1:E1"/>
    <mergeCell ref="B3:C3"/>
    <mergeCell ref="B8:D8"/>
    <mergeCell ref="E8:F8"/>
    <mergeCell ref="B9:F9"/>
  </mergeCells>
  <conditionalFormatting sqref="E12:E15">
    <cfRule type="containsText" dxfId="31" priority="1" operator="containsText" text="hola">
      <formula>NOT(ISERROR(SEARCH(("hola"),(E12))))</formula>
    </cfRule>
  </conditionalFormatting>
  <conditionalFormatting sqref="E24:E26">
    <cfRule type="cellIs" dxfId="30" priority="3" operator="equal">
      <formula>"Michael Jordan"</formula>
    </cfRule>
  </conditionalFormatting>
  <conditionalFormatting sqref="E35:E38">
    <cfRule type="expression" dxfId="29" priority="2">
      <formula>LEN(TRIM(E35)) - LEN(SUBSTITUTE(E35," ","")) + 1 &gt;= 800</formula>
    </cfRule>
  </conditionalFormatting>
  <hyperlinks>
    <hyperlink ref="C4" location="C2Exercise1" display="Exercise 2.1 - Spanish" xr:uid="{00000000-0004-0000-0600-000000000000}"/>
    <hyperlink ref="C5" location="C2Exercise2" display="Exercise 2.2 - One Player Only" xr:uid="{00000000-0004-0000-0600-000001000000}"/>
    <hyperlink ref="C6" location="C2Exercise3" display="Exercise 2.3 - Write a Story" xr:uid="{00000000-0004-0000-0600-000002000000}"/>
    <hyperlink ref="E8" location="C2ExerciseTitle" display="Back to top ↑" xr:uid="{00000000-0004-0000-0600-000003000000}"/>
    <hyperlink ref="E20" location="C2ExerciseTitle" display="Back to top ↑" xr:uid="{00000000-0004-0000-0600-000004000000}"/>
    <hyperlink ref="E31" location="C2ExerciseTitle" display="Back to top ↑" xr:uid="{00000000-0004-0000-0600-000005000000}"/>
    <hyperlink ref="B43" location="C2LessonTitle" display="← Chapter 2: Being Clear and Direct" xr:uid="{00000000-0004-0000-0600-000006000000}"/>
    <hyperlink ref="E43" location="C3LessonTitle" display="Chapter 3: Assigning Roles (Role Prompting) →" xr:uid="{00000000-0004-0000-0600-000007000000}"/>
    <hyperlink ref="B45" location="C2ExerciseTitle" display="Back to top ↑" xr:uid="{00000000-0004-0000-0600-000008000000}"/>
    <hyperlink ref="B46" location="IntroTitle" display="Table of Contents" xr:uid="{00000000-0004-0000-0600-000009000000}"/>
  </hyperlinks>
  <pageMargins left="0.7" right="0.7" top="0.75" bottom="0.75" header="0.3" footer="0.3"/>
  <pageSetup paperSize="9" scale="70"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3C47D"/>
    <outlinePr summaryBelow="0" summaryRight="0"/>
    <pageSetUpPr fitToPage="1"/>
  </sheetPr>
  <dimension ref="A1:G82"/>
  <sheetViews>
    <sheetView showGridLines="0" view="pageBreakPreview" topLeftCell="A32" zoomScale="60" zoomScaleNormal="100" workbookViewId="0"/>
  </sheetViews>
  <sheetFormatPr defaultColWidth="12.5703125" defaultRowHeight="15.75" customHeight="1" x14ac:dyDescent="0.2"/>
  <cols>
    <col min="1" max="1" width="5.42578125" customWidth="1"/>
    <col min="2" max="2" width="3" customWidth="1"/>
    <col min="3" max="3" width="46" customWidth="1"/>
    <col min="4" max="4" width="4" customWidth="1"/>
    <col min="5" max="5" width="88.140625" customWidth="1"/>
    <col min="6" max="6" width="3" customWidth="1"/>
    <col min="7" max="7" width="5.42578125" customWidth="1"/>
  </cols>
  <sheetData>
    <row r="1" spans="1:7" ht="32.25" customHeight="1" x14ac:dyDescent="0.4">
      <c r="A1" s="1"/>
      <c r="B1" s="164" t="s">
        <v>158</v>
      </c>
      <c r="C1" s="165"/>
      <c r="D1" s="165"/>
      <c r="E1" s="165"/>
      <c r="F1" s="3"/>
      <c r="G1" s="3"/>
    </row>
    <row r="2" spans="1:7" ht="21.75" customHeight="1" x14ac:dyDescent="0.2"/>
    <row r="3" spans="1:7" ht="21.75" customHeight="1" x14ac:dyDescent="0.3">
      <c r="A3" s="16"/>
      <c r="B3" s="194" t="s">
        <v>76</v>
      </c>
      <c r="C3" s="165"/>
    </row>
    <row r="4" spans="1:7" ht="15.75" customHeight="1" x14ac:dyDescent="0.2">
      <c r="A4" s="16"/>
      <c r="C4" s="40" t="s">
        <v>53</v>
      </c>
    </row>
    <row r="5" spans="1:7" ht="15.75" customHeight="1" x14ac:dyDescent="0.2">
      <c r="A5" s="16"/>
      <c r="C5" s="40" t="s">
        <v>77</v>
      </c>
    </row>
    <row r="6" spans="1:7" ht="15.75" customHeight="1" x14ac:dyDescent="0.2">
      <c r="A6" s="16" t="s">
        <v>78</v>
      </c>
      <c r="C6" s="40" t="s">
        <v>79</v>
      </c>
    </row>
    <row r="7" spans="1:7" ht="33.75" customHeight="1" x14ac:dyDescent="0.2"/>
    <row r="8" spans="1:7" ht="29.25" customHeight="1" x14ac:dyDescent="0.2">
      <c r="A8" s="41"/>
      <c r="B8" s="195" t="s">
        <v>53</v>
      </c>
      <c r="C8" s="196"/>
      <c r="D8" s="196"/>
      <c r="E8" s="197" t="s">
        <v>80</v>
      </c>
      <c r="F8" s="198"/>
      <c r="G8" s="41"/>
    </row>
    <row r="9" spans="1:7" ht="12.75" x14ac:dyDescent="0.2">
      <c r="B9" s="254" t="s">
        <v>159</v>
      </c>
      <c r="C9" s="188"/>
      <c r="D9" s="188"/>
      <c r="E9" s="188"/>
      <c r="F9" s="189"/>
    </row>
    <row r="10" spans="1:7" ht="33.75" customHeight="1" x14ac:dyDescent="0.2"/>
    <row r="11" spans="1:7" ht="29.25" customHeight="1" x14ac:dyDescent="0.2">
      <c r="B11" s="195" t="s">
        <v>77</v>
      </c>
      <c r="C11" s="196"/>
      <c r="D11" s="196"/>
      <c r="E11" s="197" t="s">
        <v>80</v>
      </c>
      <c r="F11" s="198"/>
    </row>
    <row r="12" spans="1:7" ht="13.5" x14ac:dyDescent="0.25">
      <c r="B12" s="200" t="s">
        <v>160</v>
      </c>
      <c r="C12" s="165"/>
      <c r="D12" s="165"/>
      <c r="E12" s="165"/>
      <c r="F12" s="170"/>
    </row>
    <row r="13" spans="1:7" ht="8.25" customHeight="1" x14ac:dyDescent="0.2">
      <c r="B13" s="15"/>
      <c r="F13" s="17"/>
    </row>
    <row r="14" spans="1:7" ht="12.75" x14ac:dyDescent="0.2">
      <c r="B14" s="15"/>
      <c r="C14" s="18" t="s">
        <v>161</v>
      </c>
      <c r="E14" s="18" t="s">
        <v>91</v>
      </c>
      <c r="F14" s="17"/>
    </row>
    <row r="15" spans="1:7" ht="48.75" customHeight="1" x14ac:dyDescent="0.2">
      <c r="B15" s="15"/>
      <c r="C15" s="54"/>
      <c r="D15" s="208" t="s">
        <v>93</v>
      </c>
      <c r="E15" s="238" t="e">
        <f ca="1">claudeMessages($C18,'Tutorial How-To'!$E$37,"temperature",0,"system",$C15)</f>
        <v>#NAME?</v>
      </c>
      <c r="F15" s="17"/>
    </row>
    <row r="16" spans="1:7" ht="8.25" customHeight="1" x14ac:dyDescent="0.2">
      <c r="B16" s="15"/>
      <c r="C16" s="18"/>
      <c r="D16" s="165"/>
      <c r="E16" s="206"/>
      <c r="F16" s="17"/>
    </row>
    <row r="17" spans="2:6" ht="15.75" customHeight="1" x14ac:dyDescent="0.2">
      <c r="B17" s="15"/>
      <c r="C17" s="18" t="s">
        <v>90</v>
      </c>
      <c r="D17" s="165"/>
      <c r="E17" s="206"/>
      <c r="F17" s="17"/>
    </row>
    <row r="18" spans="2:6" ht="48.75" customHeight="1" x14ac:dyDescent="0.2">
      <c r="B18" s="15"/>
      <c r="C18" s="54" t="s">
        <v>162</v>
      </c>
      <c r="D18" s="165"/>
      <c r="E18" s="207"/>
      <c r="F18" s="17"/>
    </row>
    <row r="19" spans="2:6" ht="8.25" customHeight="1" x14ac:dyDescent="0.2">
      <c r="B19" s="15"/>
      <c r="F19" s="17"/>
    </row>
    <row r="20" spans="2:6" ht="15.75" customHeight="1" x14ac:dyDescent="0.2">
      <c r="B20" s="15"/>
      <c r="C20" s="18"/>
      <c r="E20" s="18"/>
      <c r="F20" s="17"/>
    </row>
    <row r="21" spans="2:6" ht="12.75" x14ac:dyDescent="0.2">
      <c r="B21" s="200" t="s">
        <v>163</v>
      </c>
      <c r="C21" s="165"/>
      <c r="D21" s="165"/>
      <c r="E21" s="165"/>
      <c r="F21" s="170"/>
    </row>
    <row r="22" spans="2:6" ht="8.25" customHeight="1" x14ac:dyDescent="0.2">
      <c r="B22" s="15"/>
      <c r="F22" s="17"/>
    </row>
    <row r="23" spans="2:6" ht="22.5" customHeight="1" x14ac:dyDescent="0.2">
      <c r="B23" s="15"/>
      <c r="C23" s="18" t="s">
        <v>164</v>
      </c>
      <c r="E23" s="18" t="s">
        <v>91</v>
      </c>
      <c r="F23" s="17"/>
    </row>
    <row r="24" spans="2:6" ht="48.75" customHeight="1" x14ac:dyDescent="0.2">
      <c r="B24" s="15"/>
      <c r="C24" s="81" t="s">
        <v>165</v>
      </c>
      <c r="D24" s="208" t="s">
        <v>93</v>
      </c>
      <c r="E24" s="245" t="e">
        <f ca="1">claudeMessages($C27,'Tutorial How-To'!$E$37,"temperature",0,"system",$C24)</f>
        <v>#NAME?</v>
      </c>
      <c r="F24" s="17"/>
    </row>
    <row r="25" spans="2:6" ht="8.25" customHeight="1" x14ac:dyDescent="0.2">
      <c r="B25" s="15"/>
      <c r="C25" s="18"/>
      <c r="D25" s="165"/>
      <c r="E25" s="206"/>
      <c r="F25" s="17"/>
    </row>
    <row r="26" spans="2:6" ht="15.75" customHeight="1" x14ac:dyDescent="0.2">
      <c r="B26" s="15"/>
      <c r="C26" s="18" t="s">
        <v>90</v>
      </c>
      <c r="D26" s="165"/>
      <c r="E26" s="206"/>
      <c r="F26" s="17"/>
    </row>
    <row r="27" spans="2:6" ht="48.75" customHeight="1" x14ac:dyDescent="0.2">
      <c r="B27" s="15"/>
      <c r="C27" s="46" t="s">
        <v>162</v>
      </c>
      <c r="D27" s="165"/>
      <c r="E27" s="207"/>
      <c r="F27" s="17"/>
    </row>
    <row r="28" spans="2:6" ht="22.5" customHeight="1" x14ac:dyDescent="0.2">
      <c r="B28" s="15"/>
      <c r="F28" s="17"/>
    </row>
    <row r="29" spans="2:6" ht="12.75" x14ac:dyDescent="0.2">
      <c r="B29" s="200" t="s">
        <v>166</v>
      </c>
      <c r="C29" s="165"/>
      <c r="D29" s="165"/>
      <c r="E29" s="165"/>
      <c r="F29" s="170"/>
    </row>
    <row r="30" spans="2:6" ht="8.25" customHeight="1" x14ac:dyDescent="0.2">
      <c r="B30" s="15"/>
      <c r="F30" s="17"/>
    </row>
    <row r="31" spans="2:6" ht="12.75" x14ac:dyDescent="0.2">
      <c r="B31" s="15"/>
      <c r="C31" s="18" t="s">
        <v>161</v>
      </c>
      <c r="E31" s="18" t="s">
        <v>91</v>
      </c>
      <c r="F31" s="17"/>
    </row>
    <row r="32" spans="2:6" ht="81" customHeight="1" x14ac:dyDescent="0.2">
      <c r="B32" s="15"/>
      <c r="C32" s="54"/>
      <c r="D32" s="211" t="s">
        <v>93</v>
      </c>
      <c r="E32" s="238" t="e">
        <f ca="1">claudeMessages($C35,'Tutorial How-To'!$E$37,"temperature",0,"system",$C32)</f>
        <v>#NAME?</v>
      </c>
      <c r="F32" s="17"/>
    </row>
    <row r="33" spans="2:6" ht="8.25" customHeight="1" x14ac:dyDescent="0.2">
      <c r="B33" s="15"/>
      <c r="C33" s="18"/>
      <c r="D33" s="165"/>
      <c r="E33" s="206"/>
      <c r="F33" s="17"/>
    </row>
    <row r="34" spans="2:6" ht="15.75" customHeight="1" x14ac:dyDescent="0.2">
      <c r="B34" s="15"/>
      <c r="C34" s="18" t="s">
        <v>90</v>
      </c>
      <c r="D34" s="165"/>
      <c r="E34" s="206"/>
      <c r="F34" s="17"/>
    </row>
    <row r="35" spans="2:6" ht="122.25" customHeight="1" x14ac:dyDescent="0.2">
      <c r="B35" s="15"/>
      <c r="C35" s="51" t="s">
        <v>167</v>
      </c>
      <c r="D35" s="165"/>
      <c r="E35" s="207"/>
      <c r="F35" s="17"/>
    </row>
    <row r="36" spans="2:6" ht="22.5" customHeight="1" x14ac:dyDescent="0.2">
      <c r="B36" s="15"/>
      <c r="F36" s="17"/>
    </row>
    <row r="37" spans="2:6" ht="12.75" x14ac:dyDescent="0.2">
      <c r="B37" s="200" t="s">
        <v>168</v>
      </c>
      <c r="C37" s="165"/>
      <c r="D37" s="165"/>
      <c r="E37" s="165"/>
      <c r="F37" s="170"/>
    </row>
    <row r="38" spans="2:6" ht="8.25" customHeight="1" x14ac:dyDescent="0.2">
      <c r="B38" s="15"/>
      <c r="F38" s="17"/>
    </row>
    <row r="39" spans="2:6" ht="12.75" x14ac:dyDescent="0.2">
      <c r="B39" s="15"/>
      <c r="C39" s="18" t="s">
        <v>164</v>
      </c>
      <c r="E39" s="18" t="s">
        <v>91</v>
      </c>
      <c r="F39" s="17"/>
    </row>
    <row r="40" spans="2:6" ht="113.25" customHeight="1" x14ac:dyDescent="0.2">
      <c r="B40" s="15"/>
      <c r="C40" s="81" t="s">
        <v>169</v>
      </c>
      <c r="D40" s="211" t="s">
        <v>93</v>
      </c>
      <c r="E40" s="245" t="e">
        <f ca="1">claudeMessages($C43,'Tutorial How-To'!$E$37,"temperature",0,"system",$C40)</f>
        <v>#NAME?</v>
      </c>
      <c r="F40" s="17"/>
    </row>
    <row r="41" spans="2:6" ht="8.25" customHeight="1" x14ac:dyDescent="0.2">
      <c r="B41" s="15"/>
      <c r="C41" s="18"/>
      <c r="D41" s="165"/>
      <c r="E41" s="206"/>
      <c r="F41" s="17"/>
    </row>
    <row r="42" spans="2:6" ht="15.75" customHeight="1" x14ac:dyDescent="0.2">
      <c r="B42" s="15"/>
      <c r="C42" s="18" t="s">
        <v>90</v>
      </c>
      <c r="D42" s="165"/>
      <c r="E42" s="206"/>
      <c r="F42" s="17"/>
    </row>
    <row r="43" spans="2:6" ht="137.25" customHeight="1" x14ac:dyDescent="0.2">
      <c r="B43" s="15"/>
      <c r="C43" s="46" t="s">
        <v>167</v>
      </c>
      <c r="D43" s="165"/>
      <c r="E43" s="207"/>
      <c r="F43" s="17"/>
    </row>
    <row r="44" spans="2:6" ht="15" customHeight="1" x14ac:dyDescent="0.2">
      <c r="B44" s="15"/>
      <c r="F44" s="17"/>
    </row>
    <row r="45" spans="2:6" ht="12.75" x14ac:dyDescent="0.2">
      <c r="B45" s="200" t="s">
        <v>170</v>
      </c>
      <c r="C45" s="165"/>
      <c r="D45" s="165"/>
      <c r="E45" s="165"/>
      <c r="F45" s="170"/>
    </row>
    <row r="46" spans="2:6" ht="11.25" customHeight="1" x14ac:dyDescent="0.2">
      <c r="B46" s="15"/>
      <c r="F46" s="17"/>
    </row>
    <row r="47" spans="2:6" ht="12.75" x14ac:dyDescent="0.2">
      <c r="B47" s="220" t="s">
        <v>171</v>
      </c>
      <c r="C47" s="188"/>
      <c r="D47" s="188"/>
      <c r="E47" s="188"/>
      <c r="F47" s="189"/>
    </row>
    <row r="49" spans="2:6" ht="15.75" customHeight="1" x14ac:dyDescent="0.2">
      <c r="E49" s="175" t="s">
        <v>172</v>
      </c>
      <c r="F49" s="165"/>
    </row>
    <row r="50" spans="2:6" ht="33.75" customHeight="1" x14ac:dyDescent="0.2"/>
    <row r="51" spans="2:6" ht="29.25" customHeight="1" x14ac:dyDescent="0.2">
      <c r="B51" s="195" t="s">
        <v>79</v>
      </c>
      <c r="C51" s="196"/>
      <c r="D51" s="196"/>
      <c r="E51" s="197" t="s">
        <v>80</v>
      </c>
      <c r="F51" s="198"/>
    </row>
    <row r="52" spans="2:6" ht="12.75" x14ac:dyDescent="0.2">
      <c r="B52" s="200" t="s">
        <v>173</v>
      </c>
      <c r="C52" s="165"/>
      <c r="D52" s="165"/>
      <c r="E52" s="165"/>
      <c r="F52" s="170"/>
    </row>
    <row r="53" spans="2:6" ht="8.25" customHeight="1" x14ac:dyDescent="0.2">
      <c r="B53" s="15"/>
      <c r="F53" s="17"/>
    </row>
    <row r="54" spans="2:6" ht="12.75" x14ac:dyDescent="0.2">
      <c r="B54" s="15"/>
      <c r="C54" s="18" t="s">
        <v>161</v>
      </c>
      <c r="E54" s="18" t="s">
        <v>91</v>
      </c>
      <c r="F54" s="17"/>
    </row>
    <row r="55" spans="2:6" ht="48.75" customHeight="1" x14ac:dyDescent="0.2">
      <c r="B55" s="15"/>
      <c r="C55" s="54"/>
      <c r="D55" s="208" t="s">
        <v>93</v>
      </c>
      <c r="E55" s="238" t="e">
        <f ca="1">claudeMessages($C58,'Tutorial How-To'!$E$37,"temperature",0,"system",$C55)</f>
        <v>#NAME?</v>
      </c>
      <c r="F55" s="17"/>
    </row>
    <row r="56" spans="2:6" ht="8.25" customHeight="1" x14ac:dyDescent="0.2">
      <c r="B56" s="15"/>
      <c r="C56" s="18"/>
      <c r="D56" s="165"/>
      <c r="E56" s="206"/>
      <c r="F56" s="17"/>
    </row>
    <row r="57" spans="2:6" ht="15.75" customHeight="1" x14ac:dyDescent="0.2">
      <c r="B57" s="15"/>
      <c r="C57" s="18" t="s">
        <v>90</v>
      </c>
      <c r="D57" s="165"/>
      <c r="E57" s="206"/>
      <c r="F57" s="17"/>
    </row>
    <row r="58" spans="2:6" ht="48.75" customHeight="1" x14ac:dyDescent="0.2">
      <c r="B58" s="15"/>
      <c r="C58" s="54" t="s">
        <v>162</v>
      </c>
      <c r="D58" s="165"/>
      <c r="E58" s="207"/>
      <c r="F58" s="17"/>
    </row>
    <row r="59" spans="2:6" ht="8.25" customHeight="1" x14ac:dyDescent="0.2">
      <c r="B59" s="15"/>
      <c r="F59" s="17"/>
    </row>
    <row r="60" spans="2:6" ht="22.5" customHeight="1" x14ac:dyDescent="0.2">
      <c r="B60" s="15"/>
      <c r="C60" s="18" t="s">
        <v>164</v>
      </c>
      <c r="E60" s="18" t="s">
        <v>91</v>
      </c>
      <c r="F60" s="17"/>
    </row>
    <row r="61" spans="2:6" ht="48.75" customHeight="1" x14ac:dyDescent="0.2">
      <c r="B61" s="15"/>
      <c r="C61" s="81" t="s">
        <v>165</v>
      </c>
      <c r="D61" s="208" t="s">
        <v>93</v>
      </c>
      <c r="E61" s="245" t="e">
        <f ca="1">claudeMessages($C64,'Tutorial How-To'!$E$37,"temperature",0,"system",$C61)</f>
        <v>#NAME?</v>
      </c>
      <c r="F61" s="17"/>
    </row>
    <row r="62" spans="2:6" ht="8.25" customHeight="1" x14ac:dyDescent="0.2">
      <c r="B62" s="15"/>
      <c r="C62" s="18"/>
      <c r="D62" s="165"/>
      <c r="E62" s="206"/>
      <c r="F62" s="17"/>
    </row>
    <row r="63" spans="2:6" ht="15.75" customHeight="1" x14ac:dyDescent="0.2">
      <c r="B63" s="15"/>
      <c r="C63" s="18" t="s">
        <v>90</v>
      </c>
      <c r="D63" s="165"/>
      <c r="E63" s="206"/>
      <c r="F63" s="17"/>
    </row>
    <row r="64" spans="2:6" ht="48.75" customHeight="1" x14ac:dyDescent="0.2">
      <c r="B64" s="15"/>
      <c r="C64" s="46" t="s">
        <v>162</v>
      </c>
      <c r="D64" s="165"/>
      <c r="E64" s="207"/>
      <c r="F64" s="17"/>
    </row>
    <row r="65" spans="2:6" ht="8.25" customHeight="1" x14ac:dyDescent="0.2">
      <c r="B65" s="15"/>
      <c r="F65" s="17"/>
    </row>
    <row r="66" spans="2:6" ht="12.75" x14ac:dyDescent="0.2">
      <c r="B66" s="15"/>
      <c r="C66" s="18" t="s">
        <v>161</v>
      </c>
      <c r="E66" s="18" t="s">
        <v>91</v>
      </c>
      <c r="F66" s="17"/>
    </row>
    <row r="67" spans="2:6" ht="81" customHeight="1" x14ac:dyDescent="0.2">
      <c r="B67" s="15"/>
      <c r="C67" s="54"/>
      <c r="D67" s="211" t="s">
        <v>93</v>
      </c>
      <c r="E67" s="238" t="e">
        <f ca="1">claudeMessages($C70,'Tutorial How-To'!$E$37,"temperature",0,"system",$C67)</f>
        <v>#NAME?</v>
      </c>
      <c r="F67" s="17"/>
    </row>
    <row r="68" spans="2:6" ht="8.25" customHeight="1" x14ac:dyDescent="0.2">
      <c r="B68" s="15"/>
      <c r="C68" s="18"/>
      <c r="D68" s="165"/>
      <c r="E68" s="206"/>
      <c r="F68" s="17"/>
    </row>
    <row r="69" spans="2:6" ht="15.75" customHeight="1" x14ac:dyDescent="0.2">
      <c r="B69" s="15"/>
      <c r="C69" s="18" t="s">
        <v>90</v>
      </c>
      <c r="D69" s="165"/>
      <c r="E69" s="206"/>
      <c r="F69" s="17"/>
    </row>
    <row r="70" spans="2:6" ht="122.25" customHeight="1" x14ac:dyDescent="0.2">
      <c r="B70" s="15"/>
      <c r="C70" s="51" t="s">
        <v>167</v>
      </c>
      <c r="D70" s="165"/>
      <c r="E70" s="207"/>
      <c r="F70" s="17"/>
    </row>
    <row r="71" spans="2:6" ht="8.25" customHeight="1" x14ac:dyDescent="0.2">
      <c r="B71" s="15"/>
      <c r="F71" s="17"/>
    </row>
    <row r="72" spans="2:6" ht="12.75" x14ac:dyDescent="0.2">
      <c r="B72" s="15"/>
      <c r="C72" s="18" t="s">
        <v>164</v>
      </c>
      <c r="E72" s="18" t="s">
        <v>91</v>
      </c>
      <c r="F72" s="17"/>
    </row>
    <row r="73" spans="2:6" ht="113.25" customHeight="1" x14ac:dyDescent="0.2">
      <c r="B73" s="15"/>
      <c r="C73" s="81" t="s">
        <v>169</v>
      </c>
      <c r="D73" s="211" t="s">
        <v>93</v>
      </c>
      <c r="E73" s="245" t="e">
        <f ca="1">claudeMessages($C76,'Tutorial How-To'!$E$37,"temperature",0,"system",$C73)</f>
        <v>#NAME?</v>
      </c>
      <c r="F73" s="17"/>
    </row>
    <row r="74" spans="2:6" ht="8.25" customHeight="1" x14ac:dyDescent="0.2">
      <c r="B74" s="15"/>
      <c r="C74" s="18"/>
      <c r="D74" s="165"/>
      <c r="E74" s="206"/>
      <c r="F74" s="17"/>
    </row>
    <row r="75" spans="2:6" ht="15.75" customHeight="1" x14ac:dyDescent="0.2">
      <c r="B75" s="15"/>
      <c r="C75" s="18" t="s">
        <v>90</v>
      </c>
      <c r="D75" s="165"/>
      <c r="E75" s="206"/>
      <c r="F75" s="17"/>
    </row>
    <row r="76" spans="2:6" ht="137.25" customHeight="1" x14ac:dyDescent="0.2">
      <c r="B76" s="15"/>
      <c r="C76" s="46" t="s">
        <v>167</v>
      </c>
      <c r="D76" s="165"/>
      <c r="E76" s="207"/>
      <c r="F76" s="17"/>
    </row>
    <row r="77" spans="2:6" ht="12.75" x14ac:dyDescent="0.2">
      <c r="B77" s="61"/>
      <c r="C77" s="38"/>
      <c r="D77" s="38"/>
      <c r="E77" s="38"/>
      <c r="F77" s="39"/>
    </row>
    <row r="79" spans="2:6" ht="14.25" x14ac:dyDescent="0.2">
      <c r="B79" s="221" t="s">
        <v>174</v>
      </c>
      <c r="C79" s="165"/>
      <c r="D79" s="165"/>
      <c r="E79" s="175" t="s">
        <v>172</v>
      </c>
      <c r="F79" s="165"/>
    </row>
    <row r="80" spans="2:6" ht="8.25" customHeight="1" x14ac:dyDescent="0.2"/>
    <row r="81" spans="2:6" ht="14.25" x14ac:dyDescent="0.2">
      <c r="B81" s="222" t="s">
        <v>80</v>
      </c>
      <c r="C81" s="165"/>
      <c r="D81" s="165"/>
      <c r="E81" s="165"/>
      <c r="F81" s="165"/>
    </row>
    <row r="82" spans="2:6" ht="14.25" x14ac:dyDescent="0.2">
      <c r="B82" s="222" t="s">
        <v>113</v>
      </c>
      <c r="C82" s="165"/>
      <c r="D82" s="165"/>
      <c r="E82" s="165"/>
      <c r="F82" s="165"/>
    </row>
  </sheetData>
  <mergeCells count="37">
    <mergeCell ref="E61:E64"/>
    <mergeCell ref="B81:F81"/>
    <mergeCell ref="B82:F82"/>
    <mergeCell ref="D61:D64"/>
    <mergeCell ref="D67:D70"/>
    <mergeCell ref="E67:E70"/>
    <mergeCell ref="D73:D76"/>
    <mergeCell ref="E73:E76"/>
    <mergeCell ref="B79:D79"/>
    <mergeCell ref="E79:F79"/>
    <mergeCell ref="E49:F49"/>
    <mergeCell ref="B51:D51"/>
    <mergeCell ref="E51:F51"/>
    <mergeCell ref="B52:F52"/>
    <mergeCell ref="D55:D58"/>
    <mergeCell ref="E55:E58"/>
    <mergeCell ref="B37:F37"/>
    <mergeCell ref="D40:D43"/>
    <mergeCell ref="E40:E43"/>
    <mergeCell ref="B45:F45"/>
    <mergeCell ref="B47:F47"/>
    <mergeCell ref="B21:F21"/>
    <mergeCell ref="D24:D27"/>
    <mergeCell ref="E24:E27"/>
    <mergeCell ref="B29:F29"/>
    <mergeCell ref="D32:D35"/>
    <mergeCell ref="E32:E35"/>
    <mergeCell ref="E11:F11"/>
    <mergeCell ref="B12:F12"/>
    <mergeCell ref="B11:D11"/>
    <mergeCell ref="D15:D18"/>
    <mergeCell ref="E15:E18"/>
    <mergeCell ref="B1:E1"/>
    <mergeCell ref="B3:C3"/>
    <mergeCell ref="B8:D8"/>
    <mergeCell ref="E8:F8"/>
    <mergeCell ref="B9:F9"/>
  </mergeCells>
  <hyperlinks>
    <hyperlink ref="C4" location="C3Lesson" display="Lesson" xr:uid="{00000000-0004-0000-0700-000000000000}"/>
    <hyperlink ref="C5" location="C3Examples" display="Examples" xr:uid="{00000000-0004-0000-0700-000001000000}"/>
    <hyperlink ref="C6" location="C3ExamplePlayground" display="Example Playground" xr:uid="{00000000-0004-0000-0700-000002000000}"/>
    <hyperlink ref="E8" location="C3LessonTitle" display="Back to top ↑" xr:uid="{00000000-0004-0000-0700-000003000000}"/>
    <hyperlink ref="E11" location="C3LessonTitle" display="Back to top ↑" xr:uid="{00000000-0004-0000-0700-000004000000}"/>
    <hyperlink ref="E49" location="C3ExerciseTitle" display="Chapter 3 Exercises: Assigning Roles →" xr:uid="{00000000-0004-0000-0700-000005000000}"/>
    <hyperlink ref="E51" location="C3LessonTitle" display="Back to top ↑" xr:uid="{00000000-0004-0000-0700-000006000000}"/>
    <hyperlink ref="B79" location="C2ExerciseTitle" display="← Chapter 2 Exercises: Being Clear and Direct" xr:uid="{00000000-0004-0000-0700-000007000000}"/>
    <hyperlink ref="E79" location="C3ExerciseTitle" display="Chapter 3 Exercises: Assigning Roles →" xr:uid="{00000000-0004-0000-0700-000008000000}"/>
    <hyperlink ref="B81" location="C3LessonTitle" display="Back to top ↑" xr:uid="{00000000-0004-0000-0700-000009000000}"/>
    <hyperlink ref="B82" location="IntroTitle" display="Table of Contents" xr:uid="{00000000-0004-0000-0700-00000A000000}"/>
  </hyperlinks>
  <pageMargins left="0.7" right="0.7" top="0.75" bottom="0.75" header="0.3" footer="0.3"/>
  <pageSetup paperSize="9" scale="57"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3C47D"/>
    <outlinePr summaryBelow="0" summaryRight="0"/>
    <pageSetUpPr fitToPage="1"/>
  </sheetPr>
  <dimension ref="A1:G21"/>
  <sheetViews>
    <sheetView showGridLines="0" view="pageBreakPreview" zoomScale="60" zoomScaleNormal="100" workbookViewId="0"/>
  </sheetViews>
  <sheetFormatPr defaultColWidth="12.5703125" defaultRowHeight="15.75" customHeight="1" outlineLevelRow="1" x14ac:dyDescent="0.2"/>
  <cols>
    <col min="1" max="1" width="5.42578125" customWidth="1"/>
    <col min="2" max="2" width="3" customWidth="1"/>
    <col min="3" max="3" width="50.42578125" customWidth="1"/>
    <col min="4" max="4" width="4" customWidth="1"/>
    <col min="5" max="5" width="55.7109375" customWidth="1"/>
    <col min="6" max="6" width="3" customWidth="1"/>
    <col min="7" max="7" width="5.42578125" customWidth="1"/>
  </cols>
  <sheetData>
    <row r="1" spans="1:7" ht="32.25" customHeight="1" x14ac:dyDescent="0.4">
      <c r="A1" s="1"/>
      <c r="B1" s="164" t="s">
        <v>175</v>
      </c>
      <c r="C1" s="165"/>
      <c r="D1" s="165"/>
      <c r="E1" s="165"/>
      <c r="F1" s="3"/>
      <c r="G1" s="3"/>
    </row>
    <row r="2" spans="1:7" ht="21.75" customHeight="1" x14ac:dyDescent="0.2"/>
    <row r="3" spans="1:7" ht="21.75" customHeight="1" x14ac:dyDescent="0.3">
      <c r="A3" s="16"/>
      <c r="B3" s="194" t="s">
        <v>76</v>
      </c>
      <c r="C3" s="165"/>
    </row>
    <row r="4" spans="1:7" ht="15.75" customHeight="1" x14ac:dyDescent="0.2">
      <c r="A4" s="16"/>
      <c r="C4" s="40" t="s">
        <v>176</v>
      </c>
    </row>
    <row r="5" spans="1:7" ht="33.75" customHeight="1" x14ac:dyDescent="0.2"/>
    <row r="6" spans="1:7" ht="29.25" customHeight="1" x14ac:dyDescent="0.2">
      <c r="A6" s="41"/>
      <c r="B6" s="195" t="s">
        <v>176</v>
      </c>
      <c r="C6" s="196"/>
      <c r="D6" s="196"/>
      <c r="E6" s="197" t="s">
        <v>80</v>
      </c>
      <c r="F6" s="198"/>
      <c r="G6" s="41"/>
    </row>
    <row r="7" spans="1:7" ht="12.75" x14ac:dyDescent="0.2">
      <c r="B7" s="200" t="s">
        <v>177</v>
      </c>
      <c r="C7" s="165"/>
      <c r="D7" s="165"/>
      <c r="E7" s="165"/>
      <c r="F7" s="170"/>
    </row>
    <row r="8" spans="1:7" ht="11.25" customHeight="1" x14ac:dyDescent="0.2">
      <c r="B8" s="15"/>
      <c r="F8" s="17"/>
    </row>
    <row r="9" spans="1:7" ht="15.75" customHeight="1" x14ac:dyDescent="0.2">
      <c r="B9" s="15"/>
      <c r="C9" s="18" t="s">
        <v>105</v>
      </c>
      <c r="E9" s="18" t="s">
        <v>91</v>
      </c>
      <c r="F9" s="17"/>
    </row>
    <row r="10" spans="1:7" ht="139.5" customHeight="1" x14ac:dyDescent="0.2">
      <c r="B10" s="15"/>
      <c r="C10" s="82"/>
      <c r="D10" s="208" t="s">
        <v>93</v>
      </c>
      <c r="E10" s="238" t="e">
        <f ca="1">claudeMessages($C13,'Tutorial How-To'!$E$37,"system",$C10,"temperature",0)</f>
        <v>#NAME?</v>
      </c>
      <c r="F10" s="17"/>
    </row>
    <row r="11" spans="1:7" ht="8.25" customHeight="1" x14ac:dyDescent="0.2">
      <c r="B11" s="15"/>
      <c r="C11" s="18"/>
      <c r="D11" s="165"/>
      <c r="E11" s="206"/>
      <c r="F11" s="17"/>
    </row>
    <row r="12" spans="1:7" ht="15.75" customHeight="1" x14ac:dyDescent="0.2">
      <c r="B12" s="15"/>
      <c r="C12" s="18" t="s">
        <v>90</v>
      </c>
      <c r="D12" s="165"/>
      <c r="E12" s="206"/>
      <c r="F12" s="17"/>
    </row>
    <row r="13" spans="1:7" ht="182.25" customHeight="1" x14ac:dyDescent="0.2">
      <c r="B13" s="15"/>
      <c r="C13" s="64" t="s">
        <v>178</v>
      </c>
      <c r="D13" s="165"/>
      <c r="E13" s="207"/>
      <c r="F13" s="17"/>
    </row>
    <row r="14" spans="1:7" ht="15.75" customHeight="1" x14ac:dyDescent="0.2">
      <c r="B14" s="15"/>
      <c r="F14" s="17"/>
    </row>
    <row r="15" spans="1:7" ht="15.75" customHeight="1" collapsed="1" x14ac:dyDescent="0.2">
      <c r="B15" s="65" t="s">
        <v>120</v>
      </c>
      <c r="C15" s="224" t="s">
        <v>121</v>
      </c>
      <c r="D15" s="165"/>
      <c r="E15" s="165"/>
      <c r="F15" s="170"/>
    </row>
    <row r="16" spans="1:7" ht="12.75" hidden="1" outlineLevel="1" x14ac:dyDescent="0.2">
      <c r="B16" s="227" t="s">
        <v>179</v>
      </c>
      <c r="C16" s="165"/>
      <c r="D16" s="165"/>
      <c r="E16" s="165"/>
      <c r="F16" s="170"/>
    </row>
    <row r="17" spans="2:6" ht="12.75" x14ac:dyDescent="0.2">
      <c r="B17" s="6"/>
      <c r="C17" s="6"/>
      <c r="D17" s="6"/>
      <c r="E17" s="6"/>
      <c r="F17" s="6"/>
    </row>
    <row r="18" spans="2:6" ht="14.25" x14ac:dyDescent="0.2">
      <c r="B18" s="221" t="s">
        <v>180</v>
      </c>
      <c r="C18" s="165"/>
      <c r="D18" s="165"/>
      <c r="E18" s="175" t="s">
        <v>181</v>
      </c>
      <c r="F18" s="165"/>
    </row>
    <row r="19" spans="2:6" ht="8.25" customHeight="1" x14ac:dyDescent="0.2"/>
    <row r="20" spans="2:6" ht="14.25" x14ac:dyDescent="0.2">
      <c r="B20" s="222" t="s">
        <v>80</v>
      </c>
      <c r="C20" s="165"/>
      <c r="D20" s="165"/>
      <c r="E20" s="165"/>
      <c r="F20" s="165"/>
    </row>
    <row r="21" spans="2:6" ht="14.25" x14ac:dyDescent="0.2">
      <c r="B21" s="222" t="s">
        <v>113</v>
      </c>
      <c r="C21" s="165"/>
      <c r="D21" s="165"/>
      <c r="E21" s="165"/>
      <c r="F21" s="165"/>
    </row>
  </sheetData>
  <mergeCells count="13">
    <mergeCell ref="B21:F21"/>
    <mergeCell ref="B1:E1"/>
    <mergeCell ref="B3:C3"/>
    <mergeCell ref="B6:D6"/>
    <mergeCell ref="E6:F6"/>
    <mergeCell ref="B7:F7"/>
    <mergeCell ref="D10:D13"/>
    <mergeCell ref="E10:E13"/>
    <mergeCell ref="C15:F15"/>
    <mergeCell ref="B16:F16"/>
    <mergeCell ref="B18:D18"/>
    <mergeCell ref="E18:F18"/>
    <mergeCell ref="B20:F20"/>
  </mergeCells>
  <conditionalFormatting sqref="E10:E13">
    <cfRule type="containsText" dxfId="28" priority="1" operator="containsText" text="incorrect">
      <formula>NOT(ISERROR(SEARCH(("incorrect"),(E10))))</formula>
    </cfRule>
    <cfRule type="containsText" dxfId="27" priority="2" operator="containsText" text="not correct">
      <formula>NOT(ISERROR(SEARCH(("not correct"),(E10))))</formula>
    </cfRule>
  </conditionalFormatting>
  <conditionalFormatting sqref="E14">
    <cfRule type="containsText" dxfId="26" priority="3" operator="containsText" text="incorrectly">
      <formula>NOT(ISERROR(SEARCH(("incorrectly"),(E14))))</formula>
    </cfRule>
  </conditionalFormatting>
  <hyperlinks>
    <hyperlink ref="C4" location="C3Exercise1" display="Exercise 3.1 - Math Correction" xr:uid="{00000000-0004-0000-0800-000000000000}"/>
    <hyperlink ref="E6" location="C3ExerciseTitle" display="Back to top ↑" xr:uid="{00000000-0004-0000-0800-000001000000}"/>
    <hyperlink ref="B18" location="C3LessonTitle" display="← Chapter 3: Assigning Roles" xr:uid="{00000000-0004-0000-0800-000002000000}"/>
    <hyperlink ref="E18" location="C4LessonTitle" display="Chapter 4: Separating Data and Instructions →" xr:uid="{00000000-0004-0000-0800-000003000000}"/>
    <hyperlink ref="B20" location="C3ExerciseTitle" display="Back to top ↑" xr:uid="{00000000-0004-0000-0800-000004000000}"/>
    <hyperlink ref="B21" location="IntroTitle" display="Table of Contents" xr:uid="{00000000-0004-0000-0800-000005000000}"/>
  </hyperlinks>
  <pageMargins left="0.7" right="0.7" top="0.75" bottom="0.75" header="0.3" footer="0.3"/>
  <pageSetup paperSize="9" scale="70"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D966"/>
    <outlinePr summaryBelow="0" summaryRight="0"/>
    <pageSetUpPr fitToPage="1"/>
  </sheetPr>
  <dimension ref="A1:K93"/>
  <sheetViews>
    <sheetView showGridLines="0" view="pageBreakPreview" topLeftCell="A22" zoomScale="60" zoomScaleNormal="100" workbookViewId="0"/>
  </sheetViews>
  <sheetFormatPr defaultColWidth="12.5703125" defaultRowHeight="15.75" customHeight="1" x14ac:dyDescent="0.2"/>
  <cols>
    <col min="1" max="1" width="5.42578125" customWidth="1"/>
    <col min="2" max="2" width="3" customWidth="1"/>
    <col min="3" max="3" width="28.28515625" customWidth="1"/>
    <col min="4" max="4" width="4" customWidth="1"/>
    <col min="5" max="5" width="22.5703125" customWidth="1"/>
    <col min="6" max="6" width="4" customWidth="1"/>
    <col min="7" max="7" width="33.5703125" customWidth="1"/>
    <col min="8" max="8" width="4" customWidth="1"/>
    <col min="9" max="9" width="52.28515625" customWidth="1"/>
    <col min="10" max="10" width="3" customWidth="1"/>
    <col min="11" max="11" width="5.42578125" customWidth="1"/>
  </cols>
  <sheetData>
    <row r="1" spans="1:11" ht="32.25" customHeight="1" x14ac:dyDescent="0.4">
      <c r="A1" s="67"/>
      <c r="B1" s="229" t="s">
        <v>58</v>
      </c>
      <c r="C1" s="165"/>
      <c r="D1" s="165"/>
      <c r="E1" s="165"/>
      <c r="F1" s="165"/>
      <c r="G1" s="165"/>
      <c r="H1" s="68"/>
      <c r="I1" s="83"/>
      <c r="J1" s="68"/>
      <c r="K1" s="68"/>
    </row>
    <row r="2" spans="1:11" ht="21.75" customHeight="1" x14ac:dyDescent="0.2">
      <c r="A2" s="56"/>
      <c r="B2" s="56"/>
      <c r="C2" s="56"/>
      <c r="D2" s="56"/>
      <c r="E2" s="56"/>
      <c r="F2" s="56"/>
      <c r="G2" s="56"/>
      <c r="H2" s="56"/>
      <c r="I2" s="73"/>
      <c r="J2" s="56"/>
      <c r="K2" s="56"/>
    </row>
    <row r="3" spans="1:11" ht="21.75" customHeight="1" x14ac:dyDescent="0.3">
      <c r="A3" s="56"/>
      <c r="B3" s="230" t="s">
        <v>76</v>
      </c>
      <c r="C3" s="165"/>
      <c r="D3" s="56"/>
      <c r="E3" s="56"/>
      <c r="F3" s="56"/>
      <c r="G3" s="56"/>
      <c r="H3" s="56"/>
      <c r="I3" s="56"/>
      <c r="J3" s="56"/>
      <c r="K3" s="56"/>
    </row>
    <row r="4" spans="1:11" ht="15.75" customHeight="1" x14ac:dyDescent="0.2">
      <c r="A4" s="56"/>
      <c r="B4" s="56"/>
      <c r="C4" s="70" t="s">
        <v>53</v>
      </c>
      <c r="D4" s="56"/>
      <c r="E4" s="56"/>
      <c r="F4" s="56"/>
      <c r="G4" s="56"/>
      <c r="H4" s="56"/>
      <c r="I4" s="56"/>
      <c r="J4" s="56"/>
      <c r="K4" s="56"/>
    </row>
    <row r="5" spans="1:11" ht="15.75" customHeight="1" x14ac:dyDescent="0.2">
      <c r="A5" s="56"/>
      <c r="B5" s="56"/>
      <c r="C5" s="70" t="s">
        <v>77</v>
      </c>
      <c r="D5" s="56"/>
      <c r="E5" s="56"/>
      <c r="F5" s="56"/>
      <c r="G5" s="56"/>
      <c r="H5" s="56"/>
      <c r="I5" s="56"/>
      <c r="J5" s="56"/>
      <c r="K5" s="56"/>
    </row>
    <row r="6" spans="1:11" ht="15.75" customHeight="1" x14ac:dyDescent="0.2">
      <c r="A6" s="56" t="s">
        <v>78</v>
      </c>
      <c r="B6" s="56"/>
      <c r="C6" s="70" t="s">
        <v>79</v>
      </c>
      <c r="D6" s="56"/>
      <c r="E6" s="56"/>
      <c r="F6" s="56"/>
      <c r="G6" s="56" t="s">
        <v>78</v>
      </c>
      <c r="H6" s="56"/>
      <c r="I6" s="56"/>
      <c r="J6" s="56"/>
      <c r="K6" s="56"/>
    </row>
    <row r="7" spans="1:11" ht="33.75" customHeight="1" x14ac:dyDescent="0.2">
      <c r="A7" s="56"/>
      <c r="B7" s="71"/>
      <c r="C7" s="71"/>
      <c r="D7" s="71"/>
      <c r="E7" s="71"/>
      <c r="F7" s="71"/>
      <c r="G7" s="71"/>
      <c r="H7" s="71"/>
      <c r="I7" s="71"/>
      <c r="J7" s="71"/>
      <c r="K7" s="56"/>
    </row>
    <row r="8" spans="1:11" ht="29.25" customHeight="1" x14ac:dyDescent="0.2">
      <c r="A8" s="72"/>
      <c r="B8" s="231" t="s">
        <v>53</v>
      </c>
      <c r="C8" s="165"/>
      <c r="D8" s="165"/>
      <c r="E8" s="165"/>
      <c r="F8" s="56"/>
      <c r="G8" s="73"/>
      <c r="H8" s="56"/>
      <c r="I8" s="232" t="s">
        <v>80</v>
      </c>
      <c r="J8" s="170"/>
      <c r="K8" s="73"/>
    </row>
    <row r="9" spans="1:11" ht="13.5" x14ac:dyDescent="0.25">
      <c r="A9" s="55"/>
      <c r="B9" s="234" t="s">
        <v>182</v>
      </c>
      <c r="C9" s="188"/>
      <c r="D9" s="188"/>
      <c r="E9" s="188"/>
      <c r="F9" s="188"/>
      <c r="G9" s="188"/>
      <c r="H9" s="188"/>
      <c r="I9" s="188"/>
      <c r="J9" s="189"/>
      <c r="K9" s="56"/>
    </row>
    <row r="10" spans="1:11" ht="33.75" customHeight="1" x14ac:dyDescent="0.2">
      <c r="A10" s="56"/>
      <c r="B10" s="71"/>
      <c r="C10" s="71"/>
      <c r="D10" s="71"/>
      <c r="E10" s="71"/>
      <c r="F10" s="71"/>
      <c r="G10" s="71"/>
      <c r="H10" s="71"/>
      <c r="I10" s="84"/>
      <c r="J10" s="71"/>
      <c r="K10" s="56"/>
    </row>
    <row r="11" spans="1:11" ht="29.25" customHeight="1" x14ac:dyDescent="0.2">
      <c r="A11" s="55"/>
      <c r="B11" s="231" t="s">
        <v>77</v>
      </c>
      <c r="C11" s="165"/>
      <c r="D11" s="165"/>
      <c r="E11" s="165"/>
      <c r="F11" s="56"/>
      <c r="G11" s="56"/>
      <c r="H11" s="56"/>
      <c r="I11" s="232" t="s">
        <v>80</v>
      </c>
      <c r="J11" s="170"/>
      <c r="K11" s="56"/>
    </row>
    <row r="12" spans="1:11" ht="12.75" x14ac:dyDescent="0.2">
      <c r="A12" s="55"/>
      <c r="B12" s="215" t="s">
        <v>183</v>
      </c>
      <c r="C12" s="165"/>
      <c r="D12" s="165"/>
      <c r="E12" s="165"/>
      <c r="F12" s="165"/>
      <c r="G12" s="165"/>
      <c r="H12" s="165"/>
      <c r="I12" s="165"/>
      <c r="J12" s="170"/>
      <c r="K12" s="56"/>
    </row>
    <row r="13" spans="1:11" ht="8.25" customHeight="1" x14ac:dyDescent="0.2">
      <c r="A13" s="55"/>
      <c r="B13" s="56"/>
      <c r="C13" s="56"/>
      <c r="D13" s="56"/>
      <c r="E13" s="56"/>
      <c r="F13" s="56"/>
      <c r="G13" s="56"/>
      <c r="H13" s="56"/>
      <c r="I13" s="73"/>
      <c r="J13" s="55"/>
      <c r="K13" s="56"/>
    </row>
    <row r="14" spans="1:11" ht="15" x14ac:dyDescent="0.25">
      <c r="A14" s="55"/>
      <c r="B14" s="56"/>
      <c r="C14" s="85" t="s">
        <v>184</v>
      </c>
      <c r="D14" s="56"/>
      <c r="E14" s="86" t="s">
        <v>185</v>
      </c>
      <c r="F14" s="56"/>
      <c r="G14" s="87" t="s">
        <v>186</v>
      </c>
      <c r="H14" s="56"/>
      <c r="I14" s="88" t="s">
        <v>91</v>
      </c>
      <c r="J14" s="55"/>
      <c r="K14" s="56"/>
    </row>
    <row r="15" spans="1:11" ht="105.75" customHeight="1" x14ac:dyDescent="0.2">
      <c r="A15" s="55"/>
      <c r="B15" s="89"/>
      <c r="C15" s="90" t="s">
        <v>187</v>
      </c>
      <c r="D15" s="91" t="s">
        <v>188</v>
      </c>
      <c r="E15" s="92" t="s">
        <v>189</v>
      </c>
      <c r="F15" s="93" t="s">
        <v>190</v>
      </c>
      <c r="G15" s="74" t="str">
        <f>SUBSTITUTE(C15,"{{ANIMAL}}",E15)</f>
        <v>User: I will tell you the name of an animal. Please respond with the noise that animal makes. Cow</v>
      </c>
      <c r="H15" s="94" t="s">
        <v>93</v>
      </c>
      <c r="I15" s="48" t="e">
        <f ca="1">claudeMessages($G15,'Tutorial How-To'!$E$37,"temperature",0)</f>
        <v>#NAME?</v>
      </c>
      <c r="J15" s="55"/>
      <c r="K15" s="56"/>
    </row>
    <row r="16" spans="1:11" ht="15.75" customHeight="1" x14ac:dyDescent="0.2">
      <c r="A16" s="55"/>
      <c r="B16" s="56"/>
      <c r="C16" s="73"/>
      <c r="D16" s="56"/>
      <c r="E16" s="73"/>
      <c r="F16" s="56"/>
      <c r="G16" s="73"/>
      <c r="H16" s="56"/>
      <c r="I16" s="73"/>
      <c r="J16" s="55"/>
      <c r="K16" s="56"/>
    </row>
    <row r="17" spans="1:11" ht="12.75" x14ac:dyDescent="0.2">
      <c r="A17" s="55"/>
      <c r="B17" s="215" t="s">
        <v>191</v>
      </c>
      <c r="C17" s="165"/>
      <c r="D17" s="165"/>
      <c r="E17" s="165"/>
      <c r="F17" s="165"/>
      <c r="G17" s="165"/>
      <c r="H17" s="165"/>
      <c r="I17" s="165"/>
      <c r="J17" s="170"/>
      <c r="K17" s="56"/>
    </row>
    <row r="18" spans="1:11" ht="11.25" customHeight="1" x14ac:dyDescent="0.2">
      <c r="A18" s="55"/>
      <c r="B18" s="56"/>
      <c r="C18" s="56"/>
      <c r="D18" s="56"/>
      <c r="E18" s="56"/>
      <c r="F18" s="56"/>
      <c r="G18" s="56"/>
      <c r="H18" s="56"/>
      <c r="I18" s="56"/>
      <c r="J18" s="55"/>
      <c r="K18" s="56"/>
    </row>
    <row r="19" spans="1:11" ht="12.75" x14ac:dyDescent="0.2">
      <c r="A19" s="55"/>
      <c r="B19" s="215" t="s">
        <v>192</v>
      </c>
      <c r="C19" s="165"/>
      <c r="D19" s="165"/>
      <c r="E19" s="165"/>
      <c r="F19" s="165"/>
      <c r="G19" s="165"/>
      <c r="H19" s="165"/>
      <c r="I19" s="165"/>
      <c r="J19" s="170"/>
      <c r="K19" s="56"/>
    </row>
    <row r="20" spans="1:11" ht="8.25" customHeight="1" x14ac:dyDescent="0.2">
      <c r="A20" s="55"/>
      <c r="B20" s="56"/>
      <c r="C20" s="56"/>
      <c r="D20" s="56"/>
      <c r="E20" s="56"/>
      <c r="F20" s="56"/>
      <c r="G20" s="56"/>
      <c r="H20" s="56"/>
      <c r="I20" s="73"/>
      <c r="J20" s="55"/>
      <c r="K20" s="56"/>
    </row>
    <row r="21" spans="1:11" ht="15" x14ac:dyDescent="0.25">
      <c r="A21" s="55"/>
      <c r="B21" s="56"/>
      <c r="C21" s="85" t="s">
        <v>184</v>
      </c>
      <c r="D21" s="56"/>
      <c r="E21" s="86" t="s">
        <v>193</v>
      </c>
      <c r="F21" s="56"/>
      <c r="G21" s="87" t="s">
        <v>186</v>
      </c>
      <c r="H21" s="56"/>
      <c r="I21" s="88" t="s">
        <v>91</v>
      </c>
      <c r="J21" s="55"/>
      <c r="K21" s="56"/>
    </row>
    <row r="22" spans="1:11" ht="47.25" customHeight="1" x14ac:dyDescent="0.2">
      <c r="A22" s="55"/>
      <c r="B22" s="89"/>
      <c r="C22" s="258" t="s">
        <v>194</v>
      </c>
      <c r="D22" s="255" t="s">
        <v>188</v>
      </c>
      <c r="E22" s="256" t="s">
        <v>195</v>
      </c>
      <c r="F22" s="257" t="s">
        <v>190</v>
      </c>
      <c r="G22" s="236" t="str">
        <f>SUBSTITUTE(C22,"{{EMAIL}}",E22)</f>
        <v>User: Yo Claude. Show up at 6am tomorrow because I'm the CEO and I say so. &lt;----- Make this email more polite but don't change anything else about it.</v>
      </c>
      <c r="H22" s="259" t="s">
        <v>93</v>
      </c>
      <c r="I22" s="238" t="e">
        <f ca="1">claudeMessages($G22,'Tutorial How-To'!$E$37,"temperature",0)</f>
        <v>#NAME?</v>
      </c>
      <c r="J22" s="55"/>
      <c r="K22" s="56"/>
    </row>
    <row r="23" spans="1:11" ht="47.25" customHeight="1" x14ac:dyDescent="0.2">
      <c r="A23" s="55"/>
      <c r="B23" s="89"/>
      <c r="C23" s="252"/>
      <c r="D23" s="218"/>
      <c r="E23" s="218"/>
      <c r="F23" s="218"/>
      <c r="G23" s="218"/>
      <c r="H23" s="218"/>
      <c r="I23" s="206"/>
      <c r="J23" s="55"/>
      <c r="K23" s="56"/>
    </row>
    <row r="24" spans="1:11" ht="47.25" customHeight="1" x14ac:dyDescent="0.2">
      <c r="A24" s="55"/>
      <c r="B24" s="89"/>
      <c r="C24" s="252"/>
      <c r="D24" s="218"/>
      <c r="E24" s="218"/>
      <c r="F24" s="218"/>
      <c r="G24" s="218"/>
      <c r="H24" s="218"/>
      <c r="I24" s="206"/>
      <c r="J24" s="55"/>
      <c r="K24" s="56"/>
    </row>
    <row r="25" spans="1:11" ht="47.25" customHeight="1" x14ac:dyDescent="0.2">
      <c r="A25" s="55"/>
      <c r="B25" s="89"/>
      <c r="C25" s="252"/>
      <c r="D25" s="218"/>
      <c r="E25" s="218"/>
      <c r="F25" s="218"/>
      <c r="G25" s="218"/>
      <c r="H25" s="218"/>
      <c r="I25" s="206"/>
      <c r="J25" s="55"/>
      <c r="K25" s="56"/>
    </row>
    <row r="26" spans="1:11" ht="47.25" customHeight="1" x14ac:dyDescent="0.2">
      <c r="A26" s="55"/>
      <c r="B26" s="89"/>
      <c r="C26" s="253"/>
      <c r="D26" s="218"/>
      <c r="E26" s="237"/>
      <c r="F26" s="218"/>
      <c r="G26" s="237"/>
      <c r="H26" s="218"/>
      <c r="I26" s="207"/>
      <c r="J26" s="55"/>
      <c r="K26" s="56"/>
    </row>
    <row r="27" spans="1:11" ht="15.75" customHeight="1" x14ac:dyDescent="0.2">
      <c r="A27" s="55"/>
      <c r="B27" s="56"/>
      <c r="C27" s="73"/>
      <c r="D27" s="56"/>
      <c r="E27" s="73"/>
      <c r="F27" s="56"/>
      <c r="G27" s="73"/>
      <c r="H27" s="56"/>
      <c r="I27" s="73"/>
      <c r="J27" s="55"/>
      <c r="K27" s="56"/>
    </row>
    <row r="28" spans="1:11" ht="12.75" x14ac:dyDescent="0.2">
      <c r="A28" s="55"/>
      <c r="B28" s="215" t="s">
        <v>196</v>
      </c>
      <c r="C28" s="165"/>
      <c r="D28" s="165"/>
      <c r="E28" s="165"/>
      <c r="F28" s="165"/>
      <c r="G28" s="165"/>
      <c r="H28" s="165"/>
      <c r="I28" s="165"/>
      <c r="J28" s="170"/>
      <c r="K28" s="56"/>
    </row>
    <row r="29" spans="1:11" ht="11.25" customHeight="1" x14ac:dyDescent="0.2">
      <c r="A29" s="55"/>
      <c r="B29" s="56"/>
      <c r="C29" s="56"/>
      <c r="D29" s="56"/>
      <c r="E29" s="56"/>
      <c r="F29" s="56"/>
      <c r="G29" s="56"/>
      <c r="H29" s="56"/>
      <c r="I29" s="56"/>
      <c r="J29" s="55"/>
      <c r="K29" s="56"/>
    </row>
    <row r="30" spans="1:11" ht="12.75" x14ac:dyDescent="0.2">
      <c r="A30" s="55"/>
      <c r="B30" s="262" t="s">
        <v>197</v>
      </c>
      <c r="C30" s="165"/>
      <c r="D30" s="165"/>
      <c r="E30" s="165"/>
      <c r="F30" s="165"/>
      <c r="G30" s="165"/>
      <c r="H30" s="165"/>
      <c r="I30" s="165"/>
      <c r="J30" s="170"/>
      <c r="K30" s="56"/>
    </row>
    <row r="31" spans="1:11" ht="8.25" customHeight="1" x14ac:dyDescent="0.2">
      <c r="A31" s="55"/>
      <c r="B31" s="56"/>
      <c r="C31" s="56"/>
      <c r="D31" s="56"/>
      <c r="E31" s="56"/>
      <c r="F31" s="56"/>
      <c r="G31" s="56"/>
      <c r="H31" s="56"/>
      <c r="I31" s="73"/>
      <c r="J31" s="55"/>
      <c r="K31" s="56"/>
    </row>
    <row r="32" spans="1:11" ht="15" x14ac:dyDescent="0.25">
      <c r="A32" s="55"/>
      <c r="B32" s="56"/>
      <c r="C32" s="85" t="s">
        <v>184</v>
      </c>
      <c r="D32" s="56"/>
      <c r="E32" s="86" t="s">
        <v>193</v>
      </c>
      <c r="F32" s="56"/>
      <c r="G32" s="87" t="s">
        <v>186</v>
      </c>
      <c r="H32" s="56"/>
      <c r="I32" s="88" t="s">
        <v>91</v>
      </c>
      <c r="J32" s="55"/>
      <c r="K32" s="56"/>
    </row>
    <row r="33" spans="1:11" ht="50.25" customHeight="1" x14ac:dyDescent="0.2">
      <c r="A33" s="55"/>
      <c r="B33" s="89"/>
      <c r="C33" s="258" t="s">
        <v>198</v>
      </c>
      <c r="D33" s="255" t="s">
        <v>188</v>
      </c>
      <c r="E33" s="256" t="s">
        <v>199</v>
      </c>
      <c r="F33" s="257" t="s">
        <v>190</v>
      </c>
      <c r="G33" s="240" t="str">
        <f>SUBSTITUTE(C33,"{{EMAIL}}",E33)</f>
        <v>User: Yo Claude. &lt;email&gt;Show up at 6am because I'm the CEO and I say so.&lt;/email&gt; &lt;----- Make this email more polite but don't change anything else about it.</v>
      </c>
      <c r="H33" s="259" t="s">
        <v>93</v>
      </c>
      <c r="I33" s="245" t="e">
        <f ca="1">claudeMessages($G33,'Tutorial How-To'!$E$37,"temperature",0)</f>
        <v>#NAME?</v>
      </c>
      <c r="J33" s="55"/>
      <c r="K33" s="56"/>
    </row>
    <row r="34" spans="1:11" ht="50.25" customHeight="1" x14ac:dyDescent="0.2">
      <c r="A34" s="55"/>
      <c r="B34" s="89"/>
      <c r="C34" s="252"/>
      <c r="D34" s="218"/>
      <c r="E34" s="218"/>
      <c r="F34" s="218"/>
      <c r="G34" s="218"/>
      <c r="H34" s="218"/>
      <c r="I34" s="206"/>
      <c r="J34" s="55"/>
      <c r="K34" s="56"/>
    </row>
    <row r="35" spans="1:11" ht="50.25" customHeight="1" x14ac:dyDescent="0.2">
      <c r="A35" s="55"/>
      <c r="B35" s="89"/>
      <c r="C35" s="252"/>
      <c r="D35" s="218"/>
      <c r="E35" s="218"/>
      <c r="F35" s="218"/>
      <c r="G35" s="218"/>
      <c r="H35" s="218"/>
      <c r="I35" s="206"/>
      <c r="J35" s="55"/>
      <c r="K35" s="56"/>
    </row>
    <row r="36" spans="1:11" ht="50.25" customHeight="1" x14ac:dyDescent="0.2">
      <c r="A36" s="55"/>
      <c r="B36" s="89"/>
      <c r="C36" s="253"/>
      <c r="D36" s="218"/>
      <c r="E36" s="237"/>
      <c r="F36" s="218"/>
      <c r="G36" s="237"/>
      <c r="H36" s="218"/>
      <c r="I36" s="207"/>
      <c r="J36" s="55"/>
      <c r="K36" s="56"/>
    </row>
    <row r="37" spans="1:11" ht="15.75" customHeight="1" x14ac:dyDescent="0.2">
      <c r="A37" s="55"/>
      <c r="B37" s="56"/>
      <c r="C37" s="73"/>
      <c r="D37" s="56"/>
      <c r="E37" s="73"/>
      <c r="F37" s="56"/>
      <c r="G37" s="73"/>
      <c r="H37" s="56"/>
      <c r="I37" s="73"/>
      <c r="J37" s="55"/>
      <c r="K37" s="56"/>
    </row>
    <row r="38" spans="1:11" ht="12.75" x14ac:dyDescent="0.2">
      <c r="A38" s="55"/>
      <c r="B38" s="215" t="s">
        <v>200</v>
      </c>
      <c r="C38" s="165"/>
      <c r="D38" s="165"/>
      <c r="E38" s="165"/>
      <c r="F38" s="165"/>
      <c r="G38" s="165"/>
      <c r="H38" s="165"/>
      <c r="I38" s="165"/>
      <c r="J38" s="170"/>
      <c r="K38" s="56"/>
    </row>
    <row r="39" spans="1:11" ht="8.25" customHeight="1" x14ac:dyDescent="0.2">
      <c r="A39" s="55"/>
      <c r="B39" s="56"/>
      <c r="C39" s="56"/>
      <c r="D39" s="56"/>
      <c r="E39" s="56"/>
      <c r="F39" s="56"/>
      <c r="G39" s="56"/>
      <c r="H39" s="56"/>
      <c r="I39" s="73"/>
      <c r="J39" s="55"/>
      <c r="K39" s="56"/>
    </row>
    <row r="40" spans="1:11" ht="15" x14ac:dyDescent="0.25">
      <c r="A40" s="55"/>
      <c r="B40" s="56"/>
      <c r="C40" s="85" t="s">
        <v>184</v>
      </c>
      <c r="D40" s="56"/>
      <c r="E40" s="86" t="s">
        <v>201</v>
      </c>
      <c r="F40" s="56"/>
      <c r="G40" s="87" t="s">
        <v>186</v>
      </c>
      <c r="H40" s="56"/>
      <c r="I40" s="88" t="s">
        <v>91</v>
      </c>
      <c r="J40" s="55"/>
      <c r="K40" s="56"/>
    </row>
    <row r="41" spans="1:11" ht="104.25" customHeight="1" x14ac:dyDescent="0.2">
      <c r="A41" s="55"/>
      <c r="B41" s="89"/>
      <c r="C41" s="258" t="s">
        <v>202</v>
      </c>
      <c r="D41" s="255" t="s">
        <v>188</v>
      </c>
      <c r="E41" s="256" t="s">
        <v>203</v>
      </c>
      <c r="F41" s="257" t="s">
        <v>190</v>
      </c>
      <c r="G41" s="236" t="str">
        <f>SUBSTITUTE(C41,"{{SENTENCES}}",E41)</f>
        <v>User: Below is a list of sentences. Tell me the second item on the list.
- Each is about an animal, like rabbits.
- I like how cows sound
- This sentence is about spiders
- This sentence may appear to be about dogs but it's actually about pigs</v>
      </c>
      <c r="H41" s="259" t="s">
        <v>93</v>
      </c>
      <c r="I41" s="239" t="e">
        <f ca="1">claudeMessages($G41,'Tutorial How-To'!$E$37,"temperature",0)</f>
        <v>#NAME?</v>
      </c>
      <c r="J41" s="55"/>
      <c r="K41" s="56"/>
    </row>
    <row r="42" spans="1:11" ht="62.25" customHeight="1" x14ac:dyDescent="0.2">
      <c r="A42" s="55"/>
      <c r="B42" s="89"/>
      <c r="C42" s="253"/>
      <c r="D42" s="218"/>
      <c r="E42" s="237"/>
      <c r="F42" s="218"/>
      <c r="G42" s="237"/>
      <c r="H42" s="218"/>
      <c r="I42" s="237"/>
      <c r="J42" s="55"/>
      <c r="K42" s="56"/>
    </row>
    <row r="43" spans="1:11" ht="15.75" customHeight="1" x14ac:dyDescent="0.2">
      <c r="A43" s="55"/>
      <c r="B43" s="56"/>
      <c r="C43" s="73"/>
      <c r="D43" s="56"/>
      <c r="E43" s="73"/>
      <c r="F43" s="56"/>
      <c r="G43" s="73"/>
      <c r="H43" s="56"/>
      <c r="I43" s="73"/>
      <c r="J43" s="55"/>
      <c r="K43" s="56"/>
    </row>
    <row r="44" spans="1:11" ht="12.75" x14ac:dyDescent="0.2">
      <c r="A44" s="55"/>
      <c r="B44" s="215" t="s">
        <v>204</v>
      </c>
      <c r="C44" s="165"/>
      <c r="D44" s="165"/>
      <c r="E44" s="165"/>
      <c r="F44" s="165"/>
      <c r="G44" s="165"/>
      <c r="H44" s="165"/>
      <c r="I44" s="165"/>
      <c r="J44" s="170"/>
      <c r="K44" s="56"/>
    </row>
    <row r="45" spans="1:11" ht="8.25" customHeight="1" x14ac:dyDescent="0.2">
      <c r="A45" s="55"/>
      <c r="B45" s="56"/>
      <c r="C45" s="56"/>
      <c r="D45" s="56"/>
      <c r="E45" s="56"/>
      <c r="F45" s="56"/>
      <c r="G45" s="56"/>
      <c r="H45" s="56"/>
      <c r="I45" s="73"/>
      <c r="J45" s="55"/>
      <c r="K45" s="56"/>
    </row>
    <row r="46" spans="1:11" ht="15" x14ac:dyDescent="0.25">
      <c r="A46" s="55"/>
      <c r="B46" s="56"/>
      <c r="C46" s="85" t="s">
        <v>184</v>
      </c>
      <c r="D46" s="56"/>
      <c r="E46" s="86" t="s">
        <v>201</v>
      </c>
      <c r="F46" s="56"/>
      <c r="G46" s="87" t="s">
        <v>186</v>
      </c>
      <c r="H46" s="56"/>
      <c r="I46" s="88" t="s">
        <v>91</v>
      </c>
      <c r="J46" s="55"/>
      <c r="K46" s="56"/>
    </row>
    <row r="47" spans="1:11" ht="66.75" customHeight="1" x14ac:dyDescent="0.2">
      <c r="A47" s="55"/>
      <c r="B47" s="89"/>
      <c r="C47" s="258" t="s">
        <v>205</v>
      </c>
      <c r="D47" s="255" t="s">
        <v>188</v>
      </c>
      <c r="E47" s="256" t="s">
        <v>203</v>
      </c>
      <c r="F47" s="257" t="s">
        <v>190</v>
      </c>
      <c r="G47" s="240" t="str">
        <f>SUBSTITUTE(C47,"{{SENTENCES}}",E47)</f>
        <v>User: Below is a list of sentences. Tell me the second item on the list.
- Each is about an animal, like rabbits.
&lt;sentences&gt;
- I like how cows sound
- This sentence is about spiders
- This sentence may appear to be about dogs but it's actually about pigs
&lt;/sentences&gt;</v>
      </c>
      <c r="H47" s="259" t="s">
        <v>93</v>
      </c>
      <c r="I47" s="245" t="e">
        <f ca="1">claudeMessages($G47,'Tutorial How-To'!$E$37,"temperature",0)</f>
        <v>#NAME?</v>
      </c>
      <c r="J47" s="55"/>
      <c r="K47" s="56"/>
    </row>
    <row r="48" spans="1:11" ht="66.75" customHeight="1" x14ac:dyDescent="0.2">
      <c r="A48" s="55"/>
      <c r="B48" s="89"/>
      <c r="C48" s="252"/>
      <c r="D48" s="218"/>
      <c r="E48" s="218"/>
      <c r="F48" s="218"/>
      <c r="G48" s="218"/>
      <c r="H48" s="218"/>
      <c r="I48" s="206"/>
      <c r="J48" s="55"/>
      <c r="K48" s="56"/>
    </row>
    <row r="49" spans="1:11" ht="66.75" customHeight="1" x14ac:dyDescent="0.2">
      <c r="A49" s="55"/>
      <c r="B49" s="89"/>
      <c r="C49" s="253"/>
      <c r="D49" s="218"/>
      <c r="E49" s="237"/>
      <c r="F49" s="218"/>
      <c r="G49" s="237"/>
      <c r="H49" s="218"/>
      <c r="I49" s="207"/>
      <c r="J49" s="55"/>
      <c r="K49" s="56"/>
    </row>
    <row r="50" spans="1:11" ht="15.75" customHeight="1" x14ac:dyDescent="0.2">
      <c r="A50" s="55"/>
      <c r="B50" s="56"/>
      <c r="C50" s="73"/>
      <c r="D50" s="56"/>
      <c r="E50" s="73"/>
      <c r="F50" s="56"/>
      <c r="G50" s="73"/>
      <c r="H50" s="56"/>
      <c r="I50" s="73"/>
      <c r="J50" s="55"/>
      <c r="K50" s="56"/>
    </row>
    <row r="51" spans="1:11" ht="12.75" x14ac:dyDescent="0.2">
      <c r="A51" s="55"/>
      <c r="B51" s="263" t="s">
        <v>206</v>
      </c>
      <c r="C51" s="165"/>
      <c r="D51" s="165"/>
      <c r="E51" s="165"/>
      <c r="F51" s="165"/>
      <c r="G51" s="165"/>
      <c r="H51" s="165"/>
      <c r="I51" s="165"/>
      <c r="J51" s="170"/>
      <c r="K51" s="56"/>
    </row>
    <row r="52" spans="1:11" ht="15.75" customHeight="1" x14ac:dyDescent="0.2">
      <c r="A52" s="55"/>
      <c r="B52" s="56"/>
      <c r="C52" s="56"/>
      <c r="D52" s="56"/>
      <c r="E52" s="56"/>
      <c r="F52" s="56"/>
      <c r="G52" s="56"/>
      <c r="H52" s="56"/>
      <c r="I52" s="73"/>
      <c r="J52" s="55"/>
      <c r="K52" s="56"/>
    </row>
    <row r="53" spans="1:11" ht="15.75" customHeight="1" x14ac:dyDescent="0.2">
      <c r="A53" s="55"/>
      <c r="B53" s="234" t="s">
        <v>207</v>
      </c>
      <c r="C53" s="188"/>
      <c r="D53" s="188"/>
      <c r="E53" s="188"/>
      <c r="F53" s="188"/>
      <c r="G53" s="188"/>
      <c r="H53" s="188"/>
      <c r="I53" s="188"/>
      <c r="J53" s="189"/>
      <c r="K53" s="56"/>
    </row>
    <row r="54" spans="1:11" ht="15.75" customHeight="1" x14ac:dyDescent="0.2">
      <c r="A54" s="56"/>
      <c r="B54" s="56"/>
      <c r="C54" s="56"/>
      <c r="D54" s="56"/>
      <c r="E54" s="56"/>
      <c r="F54" s="56"/>
      <c r="G54" s="56"/>
      <c r="H54" s="56"/>
      <c r="I54" s="56"/>
      <c r="J54" s="56"/>
      <c r="K54" s="56"/>
    </row>
    <row r="55" spans="1:11" ht="15.75" customHeight="1" x14ac:dyDescent="0.2">
      <c r="A55" s="56"/>
      <c r="B55" s="56"/>
      <c r="C55" s="56"/>
      <c r="D55" s="56"/>
      <c r="E55" s="56"/>
      <c r="F55" s="56"/>
      <c r="G55" s="56"/>
      <c r="H55" s="56"/>
      <c r="I55" s="246" t="s">
        <v>208</v>
      </c>
      <c r="J55" s="165"/>
      <c r="K55" s="56"/>
    </row>
    <row r="56" spans="1:11" ht="33.75" customHeight="1" x14ac:dyDescent="0.2">
      <c r="A56" s="56"/>
      <c r="B56" s="71"/>
      <c r="C56" s="71"/>
      <c r="D56" s="71"/>
      <c r="E56" s="71"/>
      <c r="F56" s="71"/>
      <c r="G56" s="71"/>
      <c r="H56" s="71"/>
      <c r="I56" s="84"/>
      <c r="J56" s="71"/>
      <c r="K56" s="56"/>
    </row>
    <row r="57" spans="1:11" ht="29.25" customHeight="1" x14ac:dyDescent="0.2">
      <c r="A57" s="55"/>
      <c r="B57" s="231" t="s">
        <v>79</v>
      </c>
      <c r="C57" s="165"/>
      <c r="D57" s="165"/>
      <c r="E57" s="165"/>
      <c r="F57" s="56"/>
      <c r="G57" s="56"/>
      <c r="H57" s="56"/>
      <c r="I57" s="232" t="s">
        <v>80</v>
      </c>
      <c r="J57" s="170"/>
      <c r="K57" s="56"/>
    </row>
    <row r="58" spans="1:11" ht="12.75" x14ac:dyDescent="0.2">
      <c r="A58" s="55"/>
      <c r="B58" s="215" t="s">
        <v>209</v>
      </c>
      <c r="C58" s="165"/>
      <c r="D58" s="165"/>
      <c r="E58" s="165"/>
      <c r="F58" s="165"/>
      <c r="G58" s="165"/>
      <c r="H58" s="165"/>
      <c r="I58" s="165"/>
      <c r="J58" s="170"/>
      <c r="K58" s="56"/>
    </row>
    <row r="59" spans="1:11" ht="8.25" customHeight="1" x14ac:dyDescent="0.2">
      <c r="A59" s="55"/>
      <c r="B59" s="56"/>
      <c r="C59" s="56"/>
      <c r="D59" s="56"/>
      <c r="E59" s="56"/>
      <c r="F59" s="56"/>
      <c r="G59" s="56"/>
      <c r="H59" s="56"/>
      <c r="I59" s="73"/>
      <c r="J59" s="55"/>
      <c r="K59" s="56"/>
    </row>
    <row r="60" spans="1:11" ht="15" x14ac:dyDescent="0.25">
      <c r="A60" s="55"/>
      <c r="B60" s="56"/>
      <c r="C60" s="85" t="s">
        <v>184</v>
      </c>
      <c r="D60" s="56"/>
      <c r="E60" s="86" t="s">
        <v>185</v>
      </c>
      <c r="F60" s="56"/>
      <c r="G60" s="87" t="s">
        <v>186</v>
      </c>
      <c r="H60" s="56"/>
      <c r="I60" s="88" t="s">
        <v>91</v>
      </c>
      <c r="J60" s="55"/>
      <c r="K60" s="56"/>
    </row>
    <row r="61" spans="1:11" ht="105.75" customHeight="1" x14ac:dyDescent="0.2">
      <c r="A61" s="55"/>
      <c r="B61" s="89"/>
      <c r="C61" s="90" t="s">
        <v>187</v>
      </c>
      <c r="D61" s="91" t="s">
        <v>188</v>
      </c>
      <c r="E61" s="92" t="s">
        <v>189</v>
      </c>
      <c r="F61" s="93" t="s">
        <v>190</v>
      </c>
      <c r="G61" s="74" t="str">
        <f>SUBSTITUTE(C61,"{{ANIMAL}}",E61)</f>
        <v>User: I will tell you the name of an animal. Please respond with the noise that animal makes. Cow</v>
      </c>
      <c r="H61" s="94" t="s">
        <v>93</v>
      </c>
      <c r="I61" s="95" t="e">
        <f ca="1">claudeMessages($G61,'Tutorial How-To'!$E$37,"temperature",0)</f>
        <v>#NAME?</v>
      </c>
      <c r="J61" s="55"/>
      <c r="K61" s="56"/>
    </row>
    <row r="62" spans="1:11" ht="8.25" customHeight="1" x14ac:dyDescent="0.2">
      <c r="A62" s="55"/>
      <c r="B62" s="56"/>
      <c r="C62" s="56"/>
      <c r="D62" s="56"/>
      <c r="E62" s="56"/>
      <c r="F62" s="56"/>
      <c r="G62" s="56"/>
      <c r="H62" s="56"/>
      <c r="I62" s="73"/>
      <c r="J62" s="55"/>
      <c r="K62" s="56"/>
    </row>
    <row r="63" spans="1:11" ht="15" x14ac:dyDescent="0.25">
      <c r="A63" s="55"/>
      <c r="B63" s="56"/>
      <c r="C63" s="85" t="s">
        <v>184</v>
      </c>
      <c r="D63" s="56"/>
      <c r="E63" s="86" t="s">
        <v>193</v>
      </c>
      <c r="F63" s="56"/>
      <c r="G63" s="87" t="s">
        <v>186</v>
      </c>
      <c r="H63" s="56"/>
      <c r="I63" s="88" t="s">
        <v>91</v>
      </c>
      <c r="J63" s="55"/>
      <c r="K63" s="56"/>
    </row>
    <row r="64" spans="1:11" ht="47.25" customHeight="1" x14ac:dyDescent="0.2">
      <c r="A64" s="55"/>
      <c r="B64" s="89"/>
      <c r="C64" s="258" t="s">
        <v>194</v>
      </c>
      <c r="D64" s="255" t="s">
        <v>188</v>
      </c>
      <c r="E64" s="256" t="s">
        <v>195</v>
      </c>
      <c r="F64" s="257" t="s">
        <v>190</v>
      </c>
      <c r="G64" s="236" t="str">
        <f>SUBSTITUTE(C64,"{{EMAIL}}",E64)</f>
        <v>User: Yo Claude. Show up at 6am tomorrow because I'm the CEO and I say so. &lt;----- Make this email more polite but don't change anything else about it.</v>
      </c>
      <c r="H64" s="259" t="s">
        <v>93</v>
      </c>
      <c r="I64" s="238" t="e">
        <f ca="1">claudeMessages($G64,'Tutorial How-To'!$E$37,"temperature",0)</f>
        <v>#NAME?</v>
      </c>
      <c r="J64" s="55"/>
      <c r="K64" s="56"/>
    </row>
    <row r="65" spans="1:11" ht="47.25" customHeight="1" x14ac:dyDescent="0.2">
      <c r="A65" s="55"/>
      <c r="B65" s="89"/>
      <c r="C65" s="252"/>
      <c r="D65" s="218"/>
      <c r="E65" s="218"/>
      <c r="F65" s="218"/>
      <c r="G65" s="218"/>
      <c r="H65" s="218"/>
      <c r="I65" s="206"/>
      <c r="J65" s="55"/>
      <c r="K65" s="56"/>
    </row>
    <row r="66" spans="1:11" ht="47.25" customHeight="1" x14ac:dyDescent="0.2">
      <c r="A66" s="55"/>
      <c r="B66" s="89"/>
      <c r="C66" s="252"/>
      <c r="D66" s="218"/>
      <c r="E66" s="218"/>
      <c r="F66" s="218"/>
      <c r="G66" s="218"/>
      <c r="H66" s="218"/>
      <c r="I66" s="206"/>
      <c r="J66" s="55"/>
      <c r="K66" s="56"/>
    </row>
    <row r="67" spans="1:11" ht="47.25" customHeight="1" x14ac:dyDescent="0.2">
      <c r="A67" s="55"/>
      <c r="B67" s="89"/>
      <c r="C67" s="252"/>
      <c r="D67" s="218"/>
      <c r="E67" s="218"/>
      <c r="F67" s="218"/>
      <c r="G67" s="218"/>
      <c r="H67" s="218"/>
      <c r="I67" s="206"/>
      <c r="J67" s="55"/>
      <c r="K67" s="56"/>
    </row>
    <row r="68" spans="1:11" ht="47.25" customHeight="1" x14ac:dyDescent="0.2">
      <c r="A68" s="55"/>
      <c r="B68" s="89"/>
      <c r="C68" s="253"/>
      <c r="D68" s="218"/>
      <c r="E68" s="237"/>
      <c r="F68" s="218"/>
      <c r="G68" s="237"/>
      <c r="H68" s="218"/>
      <c r="I68" s="207"/>
      <c r="J68" s="55"/>
      <c r="K68" s="56"/>
    </row>
    <row r="69" spans="1:11" ht="8.25" customHeight="1" x14ac:dyDescent="0.2">
      <c r="A69" s="55"/>
      <c r="B69" s="56"/>
      <c r="C69" s="56"/>
      <c r="D69" s="56"/>
      <c r="E69" s="56"/>
      <c r="F69" s="56"/>
      <c r="G69" s="56"/>
      <c r="H69" s="56"/>
      <c r="I69" s="73"/>
      <c r="J69" s="55"/>
      <c r="K69" s="56"/>
    </row>
    <row r="70" spans="1:11" ht="15" x14ac:dyDescent="0.25">
      <c r="A70" s="55"/>
      <c r="B70" s="56"/>
      <c r="C70" s="85" t="s">
        <v>184</v>
      </c>
      <c r="D70" s="56"/>
      <c r="E70" s="86" t="s">
        <v>193</v>
      </c>
      <c r="F70" s="56"/>
      <c r="G70" s="87" t="s">
        <v>186</v>
      </c>
      <c r="H70" s="56"/>
      <c r="I70" s="88" t="s">
        <v>91</v>
      </c>
      <c r="J70" s="55"/>
      <c r="K70" s="56"/>
    </row>
    <row r="71" spans="1:11" ht="50.25" customHeight="1" x14ac:dyDescent="0.2">
      <c r="A71" s="55"/>
      <c r="B71" s="89"/>
      <c r="C71" s="258" t="s">
        <v>198</v>
      </c>
      <c r="D71" s="255" t="s">
        <v>188</v>
      </c>
      <c r="E71" s="256" t="s">
        <v>199</v>
      </c>
      <c r="F71" s="257" t="s">
        <v>190</v>
      </c>
      <c r="G71" s="240" t="str">
        <f>SUBSTITUTE(C71,"{{EMAIL}}",E71)</f>
        <v>User: Yo Claude. &lt;email&gt;Show up at 6am because I'm the CEO and I say so.&lt;/email&gt; &lt;----- Make this email more polite but don't change anything else about it.</v>
      </c>
      <c r="H71" s="259" t="s">
        <v>93</v>
      </c>
      <c r="I71" s="245" t="e">
        <f ca="1">claudeMessages($G71,'Tutorial How-To'!$E$37,"temperature",0)</f>
        <v>#NAME?</v>
      </c>
      <c r="J71" s="55"/>
      <c r="K71" s="56"/>
    </row>
    <row r="72" spans="1:11" ht="50.25" customHeight="1" x14ac:dyDescent="0.2">
      <c r="A72" s="55"/>
      <c r="B72" s="89"/>
      <c r="C72" s="252"/>
      <c r="D72" s="218"/>
      <c r="E72" s="218"/>
      <c r="F72" s="218"/>
      <c r="G72" s="218"/>
      <c r="H72" s="218"/>
      <c r="I72" s="206"/>
      <c r="J72" s="55"/>
      <c r="K72" s="56"/>
    </row>
    <row r="73" spans="1:11" ht="50.25" customHeight="1" x14ac:dyDescent="0.2">
      <c r="A73" s="55"/>
      <c r="B73" s="89"/>
      <c r="C73" s="252"/>
      <c r="D73" s="218"/>
      <c r="E73" s="218"/>
      <c r="F73" s="218"/>
      <c r="G73" s="218"/>
      <c r="H73" s="218"/>
      <c r="I73" s="206"/>
      <c r="J73" s="55"/>
      <c r="K73" s="56"/>
    </row>
    <row r="74" spans="1:11" ht="50.25" customHeight="1" x14ac:dyDescent="0.2">
      <c r="A74" s="55"/>
      <c r="B74" s="89"/>
      <c r="C74" s="253"/>
      <c r="D74" s="218"/>
      <c r="E74" s="237"/>
      <c r="F74" s="218"/>
      <c r="G74" s="237"/>
      <c r="H74" s="218"/>
      <c r="I74" s="207"/>
      <c r="J74" s="55"/>
      <c r="K74" s="56"/>
    </row>
    <row r="75" spans="1:11" ht="8.25" customHeight="1" x14ac:dyDescent="0.2">
      <c r="A75" s="55"/>
      <c r="B75" s="56"/>
      <c r="C75" s="56"/>
      <c r="D75" s="56"/>
      <c r="E75" s="56"/>
      <c r="F75" s="56"/>
      <c r="G75" s="56"/>
      <c r="H75" s="56"/>
      <c r="I75" s="73"/>
      <c r="J75" s="55"/>
      <c r="K75" s="56"/>
    </row>
    <row r="76" spans="1:11" ht="15" x14ac:dyDescent="0.25">
      <c r="A76" s="55"/>
      <c r="B76" s="56"/>
      <c r="C76" s="85" t="s">
        <v>184</v>
      </c>
      <c r="D76" s="56"/>
      <c r="E76" s="86" t="s">
        <v>201</v>
      </c>
      <c r="F76" s="56"/>
      <c r="G76" s="87" t="s">
        <v>186</v>
      </c>
      <c r="H76" s="56"/>
      <c r="I76" s="88" t="s">
        <v>91</v>
      </c>
      <c r="J76" s="55"/>
      <c r="K76" s="56"/>
    </row>
    <row r="77" spans="1:11" ht="104.25" customHeight="1" x14ac:dyDescent="0.2">
      <c r="A77" s="55"/>
      <c r="B77" s="89"/>
      <c r="C77" s="258" t="s">
        <v>202</v>
      </c>
      <c r="D77" s="255" t="s">
        <v>188</v>
      </c>
      <c r="E77" s="256" t="s">
        <v>203</v>
      </c>
      <c r="F77" s="257" t="s">
        <v>190</v>
      </c>
      <c r="G77" s="236" t="str">
        <f>SUBSTITUTE(C77,"{{SENTENCES}}",E77)</f>
        <v>User: Below is a list of sentences. Tell me the second item on the list.
- Each is about an animal, like rabbits.
- I like how cows sound
- This sentence is about spiders
- This sentence may appear to be about dogs but it's actually about pigs</v>
      </c>
      <c r="H77" s="259" t="s">
        <v>93</v>
      </c>
      <c r="I77" s="239" t="e">
        <f ca="1">claudeMessages($G77,'Tutorial How-To'!$E$37,"temperature",0)</f>
        <v>#NAME?</v>
      </c>
      <c r="J77" s="55"/>
      <c r="K77" s="56"/>
    </row>
    <row r="78" spans="1:11" ht="62.25" customHeight="1" x14ac:dyDescent="0.2">
      <c r="A78" s="55"/>
      <c r="B78" s="89"/>
      <c r="C78" s="253"/>
      <c r="D78" s="218"/>
      <c r="E78" s="237"/>
      <c r="F78" s="218"/>
      <c r="G78" s="237"/>
      <c r="H78" s="218"/>
      <c r="I78" s="237"/>
      <c r="J78" s="55"/>
      <c r="K78" s="56"/>
    </row>
    <row r="79" spans="1:11" ht="8.25" customHeight="1" x14ac:dyDescent="0.2">
      <c r="A79" s="55"/>
      <c r="B79" s="56"/>
      <c r="C79" s="56"/>
      <c r="D79" s="56"/>
      <c r="E79" s="56"/>
      <c r="F79" s="56"/>
      <c r="G79" s="56"/>
      <c r="H79" s="56"/>
      <c r="I79" s="73"/>
      <c r="J79" s="55"/>
      <c r="K79" s="56"/>
    </row>
    <row r="80" spans="1:11" ht="15" x14ac:dyDescent="0.25">
      <c r="A80" s="55"/>
      <c r="B80" s="56"/>
      <c r="C80" s="85" t="s">
        <v>184</v>
      </c>
      <c r="D80" s="56"/>
      <c r="E80" s="86" t="s">
        <v>201</v>
      </c>
      <c r="F80" s="56"/>
      <c r="G80" s="87" t="s">
        <v>186</v>
      </c>
      <c r="H80" s="56"/>
      <c r="I80" s="88" t="s">
        <v>91</v>
      </c>
      <c r="J80" s="55"/>
      <c r="K80" s="56"/>
    </row>
    <row r="81" spans="1:11" ht="66.75" customHeight="1" x14ac:dyDescent="0.2">
      <c r="A81" s="55"/>
      <c r="B81" s="89"/>
      <c r="C81" s="258" t="s">
        <v>205</v>
      </c>
      <c r="D81" s="255" t="s">
        <v>188</v>
      </c>
      <c r="E81" s="256" t="s">
        <v>203</v>
      </c>
      <c r="F81" s="257" t="s">
        <v>190</v>
      </c>
      <c r="G81" s="240" t="str">
        <f>SUBSTITUTE(C81,"{{SENTENCES}}",E81)</f>
        <v>User: Below is a list of sentences. Tell me the second item on the list.
- Each is about an animal, like rabbits.
&lt;sentences&gt;
- I like how cows sound
- This sentence is about spiders
- This sentence may appear to be about dogs but it's actually about pigs
&lt;/sentences&gt;</v>
      </c>
      <c r="H81" s="259" t="s">
        <v>93</v>
      </c>
      <c r="I81" s="245" t="e">
        <f ca="1">claudeMessages($G81,'Tutorial How-To'!$E$37,"temperature",0)</f>
        <v>#NAME?</v>
      </c>
      <c r="J81" s="55"/>
      <c r="K81" s="56"/>
    </row>
    <row r="82" spans="1:11" ht="66.75" customHeight="1" x14ac:dyDescent="0.2">
      <c r="A82" s="55"/>
      <c r="B82" s="89"/>
      <c r="C82" s="252"/>
      <c r="D82" s="218"/>
      <c r="E82" s="218"/>
      <c r="F82" s="218"/>
      <c r="G82" s="218"/>
      <c r="H82" s="218"/>
      <c r="I82" s="206"/>
      <c r="J82" s="55"/>
      <c r="K82" s="56"/>
    </row>
    <row r="83" spans="1:11" ht="66.75" customHeight="1" x14ac:dyDescent="0.2">
      <c r="A83" s="55"/>
      <c r="B83" s="89"/>
      <c r="C83" s="253"/>
      <c r="D83" s="218"/>
      <c r="E83" s="237"/>
      <c r="F83" s="218"/>
      <c r="G83" s="237"/>
      <c r="H83" s="218"/>
      <c r="I83" s="207"/>
      <c r="J83" s="55"/>
      <c r="K83" s="56"/>
    </row>
    <row r="84" spans="1:11" ht="15.75" customHeight="1" x14ac:dyDescent="0.2">
      <c r="A84" s="55"/>
      <c r="B84" s="71"/>
      <c r="C84" s="84"/>
      <c r="D84" s="71"/>
      <c r="E84" s="84"/>
      <c r="F84" s="71"/>
      <c r="G84" s="84"/>
      <c r="H84" s="71"/>
      <c r="I84" s="84"/>
      <c r="J84" s="78"/>
      <c r="K84" s="56"/>
    </row>
    <row r="85" spans="1:11" ht="12.75" x14ac:dyDescent="0.2">
      <c r="A85" s="56"/>
      <c r="B85" s="56"/>
      <c r="C85" s="56"/>
      <c r="D85" s="56"/>
      <c r="E85" s="56"/>
      <c r="F85" s="56"/>
      <c r="G85" s="56"/>
      <c r="H85" s="56"/>
      <c r="I85" s="73"/>
      <c r="J85" s="56"/>
      <c r="K85" s="56"/>
    </row>
    <row r="86" spans="1:11" ht="14.25" x14ac:dyDescent="0.2">
      <c r="A86" s="56"/>
      <c r="B86" s="260" t="s">
        <v>210</v>
      </c>
      <c r="C86" s="165"/>
      <c r="D86" s="165"/>
      <c r="E86" s="165"/>
      <c r="F86" s="56"/>
      <c r="G86" s="56"/>
      <c r="H86" s="56"/>
      <c r="I86" s="246" t="s">
        <v>208</v>
      </c>
      <c r="J86" s="165"/>
      <c r="K86" s="56"/>
    </row>
    <row r="87" spans="1:11" ht="12.75" x14ac:dyDescent="0.2">
      <c r="A87" s="56"/>
      <c r="B87" s="56"/>
      <c r="C87" s="56"/>
      <c r="D87" s="56"/>
      <c r="E87" s="56"/>
      <c r="F87" s="56"/>
      <c r="G87" s="56"/>
      <c r="H87" s="56"/>
      <c r="I87" s="73"/>
      <c r="J87" s="56"/>
      <c r="K87" s="56"/>
    </row>
    <row r="88" spans="1:11" ht="14.25" x14ac:dyDescent="0.2">
      <c r="A88" s="56"/>
      <c r="B88" s="261" t="s">
        <v>80</v>
      </c>
      <c r="C88" s="165"/>
      <c r="D88" s="165"/>
      <c r="E88" s="165"/>
      <c r="F88" s="165"/>
      <c r="G88" s="165"/>
      <c r="H88" s="165"/>
      <c r="I88" s="165"/>
      <c r="J88" s="165"/>
      <c r="K88" s="56"/>
    </row>
    <row r="89" spans="1:11" ht="14.25" x14ac:dyDescent="0.2">
      <c r="A89" s="56"/>
      <c r="B89" s="261" t="s">
        <v>113</v>
      </c>
      <c r="C89" s="165"/>
      <c r="D89" s="165"/>
      <c r="E89" s="165"/>
      <c r="F89" s="165"/>
      <c r="G89" s="165"/>
      <c r="H89" s="165"/>
      <c r="I89" s="165"/>
      <c r="J89" s="165"/>
      <c r="K89" s="56"/>
    </row>
    <row r="90" spans="1:11" ht="12.75" x14ac:dyDescent="0.2">
      <c r="A90" s="56"/>
      <c r="B90" s="56"/>
      <c r="C90" s="56"/>
      <c r="D90" s="56"/>
      <c r="E90" s="56"/>
      <c r="F90" s="56"/>
      <c r="G90" s="56"/>
      <c r="H90" s="56"/>
      <c r="I90" s="73"/>
      <c r="J90" s="56"/>
      <c r="K90" s="56"/>
    </row>
    <row r="91" spans="1:11" ht="12.75" x14ac:dyDescent="0.2">
      <c r="A91" s="56"/>
      <c r="B91" s="56"/>
      <c r="C91" s="56"/>
      <c r="D91" s="56"/>
      <c r="E91" s="56"/>
      <c r="F91" s="56"/>
      <c r="G91" s="56"/>
      <c r="H91" s="56"/>
      <c r="I91" s="73"/>
      <c r="J91" s="56"/>
      <c r="K91" s="56"/>
    </row>
    <row r="92" spans="1:11" ht="12.75" x14ac:dyDescent="0.2">
      <c r="A92" s="56"/>
      <c r="B92" s="56"/>
      <c r="C92" s="56"/>
      <c r="D92" s="56"/>
      <c r="E92" s="56"/>
      <c r="F92" s="56"/>
      <c r="G92" s="56"/>
      <c r="H92" s="56"/>
      <c r="I92" s="73"/>
      <c r="J92" s="56"/>
      <c r="K92" s="56"/>
    </row>
    <row r="93" spans="1:11" ht="12.75" x14ac:dyDescent="0.2">
      <c r="A93" s="56"/>
      <c r="B93" s="56"/>
      <c r="C93" s="56"/>
      <c r="D93" s="56"/>
      <c r="E93" s="56"/>
      <c r="F93" s="56"/>
      <c r="G93" s="56"/>
      <c r="H93" s="56"/>
      <c r="I93" s="73"/>
      <c r="J93" s="56"/>
      <c r="K93" s="56"/>
    </row>
  </sheetData>
  <mergeCells count="80">
    <mergeCell ref="B58:J58"/>
    <mergeCell ref="B51:J51"/>
    <mergeCell ref="B53:J53"/>
    <mergeCell ref="I55:J55"/>
    <mergeCell ref="B57:E57"/>
    <mergeCell ref="I57:J57"/>
    <mergeCell ref="B28:J28"/>
    <mergeCell ref="B30:J30"/>
    <mergeCell ref="C33:C36"/>
    <mergeCell ref="D33:D36"/>
    <mergeCell ref="E33:E36"/>
    <mergeCell ref="F33:F36"/>
    <mergeCell ref="B11:E11"/>
    <mergeCell ref="I11:J11"/>
    <mergeCell ref="G22:G26"/>
    <mergeCell ref="H22:H26"/>
    <mergeCell ref="B12:J12"/>
    <mergeCell ref="B17:J17"/>
    <mergeCell ref="B19:J19"/>
    <mergeCell ref="C22:C26"/>
    <mergeCell ref="D22:D26"/>
    <mergeCell ref="E22:E26"/>
    <mergeCell ref="F22:F26"/>
    <mergeCell ref="I22:I26"/>
    <mergeCell ref="B1:G1"/>
    <mergeCell ref="B3:C3"/>
    <mergeCell ref="B8:E8"/>
    <mergeCell ref="I8:J8"/>
    <mergeCell ref="B9:J9"/>
    <mergeCell ref="B89:J89"/>
    <mergeCell ref="C81:C83"/>
    <mergeCell ref="D81:D83"/>
    <mergeCell ref="E81:E83"/>
    <mergeCell ref="F81:F83"/>
    <mergeCell ref="G81:G83"/>
    <mergeCell ref="H81:H83"/>
    <mergeCell ref="I81:I83"/>
    <mergeCell ref="H77:H78"/>
    <mergeCell ref="I77:I78"/>
    <mergeCell ref="B86:E86"/>
    <mergeCell ref="I86:J86"/>
    <mergeCell ref="B88:J88"/>
    <mergeCell ref="C77:C78"/>
    <mergeCell ref="D77:D78"/>
    <mergeCell ref="E77:E78"/>
    <mergeCell ref="F77:F78"/>
    <mergeCell ref="G77:G78"/>
    <mergeCell ref="H64:H68"/>
    <mergeCell ref="I64:I68"/>
    <mergeCell ref="C71:C74"/>
    <mergeCell ref="D71:D74"/>
    <mergeCell ref="E71:E74"/>
    <mergeCell ref="F71:F74"/>
    <mergeCell ref="G71:G74"/>
    <mergeCell ref="H71:H74"/>
    <mergeCell ref="I71:I74"/>
    <mergeCell ref="C64:C68"/>
    <mergeCell ref="D64:D68"/>
    <mergeCell ref="E64:E68"/>
    <mergeCell ref="F64:F68"/>
    <mergeCell ref="G64:G68"/>
    <mergeCell ref="B44:J44"/>
    <mergeCell ref="C41:C42"/>
    <mergeCell ref="C47:C49"/>
    <mergeCell ref="D47:D49"/>
    <mergeCell ref="E47:E49"/>
    <mergeCell ref="F47:F49"/>
    <mergeCell ref="G47:G49"/>
    <mergeCell ref="H47:H49"/>
    <mergeCell ref="H41:H42"/>
    <mergeCell ref="I41:I42"/>
    <mergeCell ref="I47:I49"/>
    <mergeCell ref="I33:I36"/>
    <mergeCell ref="B38:J38"/>
    <mergeCell ref="D41:D42"/>
    <mergeCell ref="E41:E42"/>
    <mergeCell ref="F41:F42"/>
    <mergeCell ref="G41:G42"/>
    <mergeCell ref="G33:G36"/>
    <mergeCell ref="H33:H36"/>
  </mergeCells>
  <hyperlinks>
    <hyperlink ref="C4" location="C4Lesson" display="Lesson" xr:uid="{00000000-0004-0000-0900-000000000000}"/>
    <hyperlink ref="C5" location="C4Examples" display="Examples" xr:uid="{00000000-0004-0000-0900-000001000000}"/>
    <hyperlink ref="C6" location="C4ExamplePlayground" display="Example Playground" xr:uid="{00000000-0004-0000-0900-000002000000}"/>
    <hyperlink ref="I8" location="C4LessonTitle" display="Back to top ↑" xr:uid="{00000000-0004-0000-0900-000003000000}"/>
    <hyperlink ref="I11" location="C4LessonTitle" display="Back to top ↑" xr:uid="{00000000-0004-0000-0900-000004000000}"/>
    <hyperlink ref="B30" r:id="rId1" xr:uid="{00000000-0004-0000-0900-000005000000}"/>
    <hyperlink ref="I55" location="C4ExerciseTitle" display="Chapter 4 Exercises: Separating Data from Instructions →" xr:uid="{00000000-0004-0000-0900-000006000000}"/>
    <hyperlink ref="I57" location="C4LessonTitle" display="Back to top ↑" xr:uid="{00000000-0004-0000-0900-000007000000}"/>
    <hyperlink ref="B86" location="C3ExerciseTitle" display="← Chapter 3 Exercises: Assigning Roles" xr:uid="{00000000-0004-0000-0900-000008000000}"/>
    <hyperlink ref="I86" location="C4ExerciseTitle" display="Chapter 4 Exercises: Separating Data from Instructions →" xr:uid="{00000000-0004-0000-0900-000009000000}"/>
    <hyperlink ref="B88" location="C4LessonTitle" display="Back to top ↑" xr:uid="{00000000-0004-0000-0900-00000A000000}"/>
    <hyperlink ref="B89" location="IntroTitle" display="Table of Contents" xr:uid="{00000000-0004-0000-0900-00000B000000}"/>
  </hyperlinks>
  <pageMargins left="0.7" right="0.7" top="0.75" bottom="0.75" header="0.3" footer="0.3"/>
  <pageSetup paperSize="9" scale="53" fitToHeight="0"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D966"/>
    <outlinePr summaryBelow="0" summaryRight="0"/>
    <pageSetUpPr fitToPage="1"/>
  </sheetPr>
  <dimension ref="A1:K44"/>
  <sheetViews>
    <sheetView showGridLines="0" view="pageBreakPreview" zoomScale="60" zoomScaleNormal="100" workbookViewId="0"/>
  </sheetViews>
  <sheetFormatPr defaultColWidth="12.5703125" defaultRowHeight="15.75" customHeight="1" outlineLevelRow="1" x14ac:dyDescent="0.2"/>
  <cols>
    <col min="1" max="1" width="5.42578125" customWidth="1"/>
    <col min="2" max="2" width="3" customWidth="1"/>
    <col min="3" max="3" width="28.28515625" customWidth="1"/>
    <col min="4" max="4" width="4" customWidth="1"/>
    <col min="5" max="5" width="18.42578125" customWidth="1"/>
    <col min="6" max="6" width="4" customWidth="1"/>
    <col min="7" max="7" width="33.5703125" customWidth="1"/>
    <col min="8" max="8" width="4" customWidth="1"/>
    <col min="9" max="9" width="52.28515625" customWidth="1"/>
    <col min="10" max="10" width="3" customWidth="1"/>
    <col min="11" max="11" width="5.42578125" customWidth="1"/>
  </cols>
  <sheetData>
    <row r="1" spans="1:11" ht="32.25" customHeight="1" x14ac:dyDescent="0.4">
      <c r="A1" s="1"/>
      <c r="B1" s="164" t="s">
        <v>211</v>
      </c>
      <c r="C1" s="165"/>
      <c r="D1" s="165"/>
      <c r="E1" s="165"/>
      <c r="F1" s="165"/>
      <c r="G1" s="165"/>
      <c r="H1" s="165"/>
      <c r="I1" s="96"/>
      <c r="J1" s="3"/>
      <c r="K1" s="3"/>
    </row>
    <row r="2" spans="1:11" ht="21.75" customHeight="1" x14ac:dyDescent="0.2">
      <c r="D2" s="25"/>
      <c r="F2" s="25"/>
      <c r="G2" s="49"/>
      <c r="H2" s="25"/>
      <c r="I2" s="41"/>
    </row>
    <row r="3" spans="1:11" ht="21.75" customHeight="1" x14ac:dyDescent="0.3">
      <c r="A3" s="16"/>
      <c r="B3" s="194" t="s">
        <v>76</v>
      </c>
      <c r="C3" s="165"/>
      <c r="D3" s="25"/>
      <c r="F3" s="25"/>
      <c r="G3" s="16"/>
      <c r="H3" s="97"/>
    </row>
    <row r="4" spans="1:11" ht="15.75" customHeight="1" x14ac:dyDescent="0.2">
      <c r="A4" s="16"/>
      <c r="C4" s="40" t="s">
        <v>212</v>
      </c>
      <c r="D4" s="25"/>
      <c r="F4" s="25"/>
      <c r="G4" s="16"/>
      <c r="H4" s="25"/>
      <c r="I4" s="20"/>
    </row>
    <row r="5" spans="1:11" ht="15.75" customHeight="1" x14ac:dyDescent="0.2">
      <c r="A5" s="16"/>
      <c r="C5" s="40" t="s">
        <v>213</v>
      </c>
      <c r="D5" s="25"/>
      <c r="F5" s="25"/>
      <c r="G5" s="16"/>
      <c r="H5" s="25"/>
      <c r="I5" s="20"/>
    </row>
    <row r="6" spans="1:11" ht="15.75" customHeight="1" x14ac:dyDescent="0.2">
      <c r="A6" s="16" t="s">
        <v>78</v>
      </c>
      <c r="C6" s="40" t="s">
        <v>214</v>
      </c>
      <c r="D6" s="25"/>
      <c r="F6" s="25"/>
      <c r="G6" s="16" t="s">
        <v>78</v>
      </c>
      <c r="H6" s="25"/>
      <c r="I6" s="20"/>
    </row>
    <row r="7" spans="1:11" ht="33.75" customHeight="1" x14ac:dyDescent="0.2">
      <c r="D7" s="25"/>
      <c r="F7" s="25"/>
      <c r="H7" s="25"/>
    </row>
    <row r="8" spans="1:11" ht="29.25" customHeight="1" x14ac:dyDescent="0.2">
      <c r="B8" s="195" t="s">
        <v>212</v>
      </c>
      <c r="C8" s="196"/>
      <c r="D8" s="196"/>
      <c r="E8" s="196"/>
      <c r="F8" s="98"/>
      <c r="G8" s="99"/>
      <c r="H8" s="98"/>
      <c r="I8" s="197" t="s">
        <v>80</v>
      </c>
      <c r="J8" s="198"/>
    </row>
    <row r="9" spans="1:11" ht="12.75" x14ac:dyDescent="0.2">
      <c r="B9" s="200" t="s">
        <v>215</v>
      </c>
      <c r="C9" s="165"/>
      <c r="D9" s="165"/>
      <c r="E9" s="165"/>
      <c r="F9" s="165"/>
      <c r="G9" s="165"/>
      <c r="H9" s="165"/>
      <c r="I9" s="165"/>
      <c r="J9" s="170"/>
    </row>
    <row r="10" spans="1:11" ht="8.25" customHeight="1" x14ac:dyDescent="0.2">
      <c r="B10" s="15"/>
      <c r="D10" s="25"/>
      <c r="F10" s="25"/>
      <c r="G10" s="49"/>
      <c r="H10" s="25"/>
      <c r="I10" s="41"/>
      <c r="J10" s="17"/>
    </row>
    <row r="11" spans="1:11" ht="15" x14ac:dyDescent="0.25">
      <c r="A11" s="20"/>
      <c r="B11" s="19"/>
      <c r="C11" s="100" t="s">
        <v>184</v>
      </c>
      <c r="D11" s="101"/>
      <c r="E11" s="100" t="s">
        <v>216</v>
      </c>
      <c r="F11" s="101"/>
      <c r="G11" s="102" t="s">
        <v>186</v>
      </c>
      <c r="H11" s="101"/>
      <c r="I11" s="103" t="s">
        <v>91</v>
      </c>
      <c r="J11" s="21"/>
      <c r="K11" s="20"/>
    </row>
    <row r="12" spans="1:11" ht="90" customHeight="1" x14ac:dyDescent="0.2">
      <c r="B12" s="15"/>
      <c r="C12" s="104"/>
      <c r="D12" s="105" t="s">
        <v>188</v>
      </c>
      <c r="E12" s="106" t="s">
        <v>217</v>
      </c>
      <c r="F12" s="107" t="s">
        <v>190</v>
      </c>
      <c r="G12" s="46" t="str">
        <f>SUBSTITUTE(C12,"{{TOPIC}}",E12)</f>
        <v/>
      </c>
      <c r="H12" s="47" t="s">
        <v>93</v>
      </c>
      <c r="I12" s="54" t="e">
        <f ca="1">claudeMessages(G12, 'Tutorial How-To'!E37,"temperature",0)</f>
        <v>#NAME?</v>
      </c>
      <c r="J12" s="17"/>
    </row>
    <row r="13" spans="1:11" ht="15.75" customHeight="1" x14ac:dyDescent="0.2">
      <c r="B13" s="15"/>
      <c r="C13" s="108"/>
      <c r="D13" s="47"/>
      <c r="E13" s="109"/>
      <c r="F13" s="25"/>
      <c r="G13" s="109"/>
      <c r="H13" s="25"/>
      <c r="I13" s="109"/>
      <c r="J13" s="17"/>
    </row>
    <row r="14" spans="1:11" ht="14.25" collapsed="1" x14ac:dyDescent="0.2">
      <c r="B14" s="65" t="s">
        <v>120</v>
      </c>
      <c r="C14" s="224" t="s">
        <v>121</v>
      </c>
      <c r="D14" s="165"/>
      <c r="E14" s="165"/>
      <c r="F14" s="165"/>
      <c r="G14" s="165"/>
      <c r="H14" s="165"/>
      <c r="I14" s="165"/>
      <c r="J14" s="170"/>
    </row>
    <row r="15" spans="1:11" ht="12.75" hidden="1" outlineLevel="1" x14ac:dyDescent="0.2">
      <c r="B15" s="264" t="s">
        <v>218</v>
      </c>
      <c r="C15" s="165"/>
      <c r="D15" s="165"/>
      <c r="E15" s="165"/>
      <c r="F15" s="165"/>
      <c r="G15" s="165"/>
      <c r="H15" s="165"/>
      <c r="I15" s="165"/>
      <c r="J15" s="170"/>
    </row>
    <row r="16" spans="1:11" ht="33.75" customHeight="1" x14ac:dyDescent="0.2">
      <c r="B16" s="6"/>
      <c r="C16" s="6"/>
      <c r="D16" s="98"/>
      <c r="E16" s="6"/>
      <c r="F16" s="98"/>
      <c r="G16" s="99"/>
      <c r="H16" s="98"/>
      <c r="I16" s="110"/>
      <c r="J16" s="6"/>
    </row>
    <row r="17" spans="1:11" ht="29.25" customHeight="1" x14ac:dyDescent="0.2">
      <c r="B17" s="195" t="s">
        <v>213</v>
      </c>
      <c r="C17" s="196"/>
      <c r="D17" s="196"/>
      <c r="E17" s="196"/>
      <c r="F17" s="98"/>
      <c r="G17" s="99"/>
      <c r="H17" s="98"/>
      <c r="I17" s="197" t="s">
        <v>80</v>
      </c>
      <c r="J17" s="198"/>
    </row>
    <row r="18" spans="1:11" ht="12.75" x14ac:dyDescent="0.2">
      <c r="B18" s="200" t="s">
        <v>219</v>
      </c>
      <c r="C18" s="165"/>
      <c r="D18" s="165"/>
      <c r="E18" s="165"/>
      <c r="F18" s="165"/>
      <c r="G18" s="165"/>
      <c r="H18" s="165"/>
      <c r="I18" s="165"/>
      <c r="J18" s="170"/>
    </row>
    <row r="19" spans="1:11" ht="11.25" customHeight="1" x14ac:dyDescent="0.2">
      <c r="B19" s="15"/>
      <c r="D19" s="25"/>
      <c r="F19" s="25"/>
      <c r="G19" s="49"/>
      <c r="H19" s="25"/>
      <c r="I19" s="41"/>
      <c r="J19" s="17"/>
    </row>
    <row r="20" spans="1:11" ht="13.5" x14ac:dyDescent="0.25">
      <c r="B20" s="265" t="s">
        <v>220</v>
      </c>
      <c r="C20" s="165"/>
      <c r="D20" s="165"/>
      <c r="E20" s="165"/>
      <c r="F20" s="165"/>
      <c r="G20" s="165"/>
      <c r="H20" s="165"/>
      <c r="I20" s="165"/>
      <c r="J20" s="170"/>
    </row>
    <row r="21" spans="1:11" ht="8.25" customHeight="1" x14ac:dyDescent="0.2">
      <c r="B21" s="15"/>
      <c r="D21" s="25"/>
      <c r="F21" s="25"/>
      <c r="G21" s="49"/>
      <c r="H21" s="25"/>
      <c r="I21" s="41"/>
      <c r="J21" s="17"/>
    </row>
    <row r="22" spans="1:11" ht="15" x14ac:dyDescent="0.25">
      <c r="A22" s="20"/>
      <c r="B22" s="19"/>
      <c r="C22" s="100" t="s">
        <v>184</v>
      </c>
      <c r="D22" s="101"/>
      <c r="E22" s="100" t="s">
        <v>221</v>
      </c>
      <c r="F22" s="101"/>
      <c r="G22" s="102" t="s">
        <v>186</v>
      </c>
      <c r="H22" s="101"/>
      <c r="I22" s="103" t="s">
        <v>91</v>
      </c>
      <c r="J22" s="21"/>
      <c r="K22" s="20"/>
    </row>
    <row r="23" spans="1:11" ht="102" customHeight="1" x14ac:dyDescent="0.2">
      <c r="B23" s="15"/>
      <c r="C23" s="104" t="s">
        <v>222</v>
      </c>
      <c r="D23" s="105" t="s">
        <v>188</v>
      </c>
      <c r="E23" s="106" t="s">
        <v>223</v>
      </c>
      <c r="F23" s="107" t="s">
        <v>190</v>
      </c>
      <c r="G23" s="46" t="str">
        <f>SUBSTITUTE(C23,"{{QUESTION}}",E23)</f>
        <v>User: Hia its me i have a q about dogs jkaerjv ar cn brown? jklmvca tx it help me muhch much atx fst fst answer short short tx</v>
      </c>
      <c r="H23" s="47" t="s">
        <v>93</v>
      </c>
      <c r="I23" s="54" t="e">
        <f ca="1">claudeMessages(G23, 'Tutorial How-To'!E37,"temperature",0)</f>
        <v>#NAME?</v>
      </c>
      <c r="J23" s="17"/>
    </row>
    <row r="24" spans="1:11" ht="15.75" customHeight="1" x14ac:dyDescent="0.2">
      <c r="B24" s="15"/>
      <c r="C24" s="108"/>
      <c r="D24" s="47"/>
      <c r="E24" s="109"/>
      <c r="F24" s="25"/>
      <c r="G24" s="109"/>
      <c r="H24" s="25"/>
      <c r="I24" s="109"/>
      <c r="J24" s="17"/>
    </row>
    <row r="25" spans="1:11" ht="14.25" collapsed="1" x14ac:dyDescent="0.2">
      <c r="B25" s="65" t="s">
        <v>120</v>
      </c>
      <c r="C25" s="224" t="s">
        <v>121</v>
      </c>
      <c r="D25" s="165"/>
      <c r="E25" s="165"/>
      <c r="F25" s="165"/>
      <c r="G25" s="165"/>
      <c r="H25" s="165"/>
      <c r="I25" s="165"/>
      <c r="J25" s="170"/>
    </row>
    <row r="26" spans="1:11" ht="12.75" hidden="1" outlineLevel="1" x14ac:dyDescent="0.2">
      <c r="B26" s="264" t="s">
        <v>224</v>
      </c>
      <c r="C26" s="165"/>
      <c r="D26" s="165"/>
      <c r="E26" s="165"/>
      <c r="F26" s="165"/>
      <c r="G26" s="165"/>
      <c r="H26" s="165"/>
      <c r="I26" s="165"/>
      <c r="J26" s="170"/>
    </row>
    <row r="27" spans="1:11" ht="33.75" customHeight="1" x14ac:dyDescent="0.2">
      <c r="B27" s="6"/>
      <c r="C27" s="6"/>
      <c r="D27" s="98"/>
      <c r="E27" s="6"/>
      <c r="F27" s="98"/>
      <c r="G27" s="99"/>
      <c r="H27" s="98"/>
      <c r="I27" s="110"/>
      <c r="J27" s="6"/>
    </row>
    <row r="28" spans="1:11" ht="29.25" customHeight="1" x14ac:dyDescent="0.2">
      <c r="B28" s="195" t="s">
        <v>214</v>
      </c>
      <c r="C28" s="196"/>
      <c r="D28" s="196"/>
      <c r="E28" s="196"/>
      <c r="F28" s="98"/>
      <c r="G28" s="99"/>
      <c r="H28" s="98"/>
      <c r="I28" s="197" t="s">
        <v>80</v>
      </c>
      <c r="J28" s="198"/>
    </row>
    <row r="29" spans="1:11" ht="12.75" x14ac:dyDescent="0.2">
      <c r="B29" s="200" t="s">
        <v>225</v>
      </c>
      <c r="C29" s="165"/>
      <c r="D29" s="165"/>
      <c r="E29" s="165"/>
      <c r="F29" s="165"/>
      <c r="G29" s="165"/>
      <c r="H29" s="165"/>
      <c r="I29" s="165"/>
      <c r="J29" s="170"/>
    </row>
    <row r="30" spans="1:11" ht="8.25" customHeight="1" x14ac:dyDescent="0.2">
      <c r="B30" s="15"/>
      <c r="D30" s="25"/>
      <c r="F30" s="25"/>
      <c r="G30" s="49"/>
      <c r="H30" s="25"/>
      <c r="I30" s="41"/>
      <c r="J30" s="17"/>
    </row>
    <row r="31" spans="1:11" ht="15" x14ac:dyDescent="0.25">
      <c r="A31" s="20"/>
      <c r="B31" s="19"/>
      <c r="C31" s="100" t="s">
        <v>184</v>
      </c>
      <c r="D31" s="101"/>
      <c r="E31" s="100" t="s">
        <v>221</v>
      </c>
      <c r="F31" s="101"/>
      <c r="G31" s="102" t="s">
        <v>186</v>
      </c>
      <c r="H31" s="101"/>
      <c r="I31" s="103" t="s">
        <v>91</v>
      </c>
      <c r="J31" s="21"/>
      <c r="K31" s="20"/>
    </row>
    <row r="32" spans="1:11" ht="101.25" customHeight="1" x14ac:dyDescent="0.2">
      <c r="B32" s="15"/>
      <c r="C32" s="104" t="s">
        <v>222</v>
      </c>
      <c r="D32" s="105" t="s">
        <v>188</v>
      </c>
      <c r="E32" s="106" t="s">
        <v>223</v>
      </c>
      <c r="F32" s="107" t="s">
        <v>190</v>
      </c>
      <c r="G32" s="46" t="str">
        <f>SUBSTITUTE(C32,"{{QUESTION}}",E32)</f>
        <v>User: Hia its me i have a q about dogs jkaerjv ar cn brown? jklmvca tx it help me muhch much atx fst fst answer short short tx</v>
      </c>
      <c r="H32" s="47" t="s">
        <v>93</v>
      </c>
      <c r="I32" s="54" t="e">
        <f ca="1">claudeMessages(G32, 'Tutorial How-To'!E37,"temperature",0)</f>
        <v>#NAME?</v>
      </c>
      <c r="J32" s="17"/>
    </row>
    <row r="33" spans="2:10" ht="15.75" customHeight="1" x14ac:dyDescent="0.2">
      <c r="B33" s="15"/>
      <c r="C33" s="108"/>
      <c r="D33" s="47"/>
      <c r="E33" s="109"/>
      <c r="F33" s="25"/>
      <c r="G33" s="109"/>
      <c r="H33" s="25"/>
      <c r="I33" s="109"/>
      <c r="J33" s="17"/>
    </row>
    <row r="34" spans="2:10" ht="14.25" collapsed="1" x14ac:dyDescent="0.2">
      <c r="B34" s="65" t="s">
        <v>120</v>
      </c>
      <c r="C34" s="224" t="s">
        <v>121</v>
      </c>
      <c r="D34" s="165"/>
      <c r="E34" s="165"/>
      <c r="F34" s="165"/>
      <c r="G34" s="165"/>
      <c r="H34" s="165"/>
      <c r="I34" s="165"/>
      <c r="J34" s="170"/>
    </row>
    <row r="35" spans="2:10" ht="12.75" hidden="1" outlineLevel="1" x14ac:dyDescent="0.2">
      <c r="B35" s="264" t="s">
        <v>226</v>
      </c>
      <c r="C35" s="165"/>
      <c r="D35" s="165"/>
      <c r="E35" s="165"/>
      <c r="F35" s="165"/>
      <c r="G35" s="165"/>
      <c r="H35" s="165"/>
      <c r="I35" s="165"/>
      <c r="J35" s="170"/>
    </row>
    <row r="36" spans="2:10" ht="12.75" x14ac:dyDescent="0.2">
      <c r="B36" s="6"/>
      <c r="C36" s="6"/>
      <c r="D36" s="98"/>
      <c r="E36" s="6"/>
      <c r="F36" s="98"/>
      <c r="G36" s="99"/>
      <c r="H36" s="98"/>
      <c r="I36" s="110"/>
      <c r="J36" s="6"/>
    </row>
    <row r="37" spans="2:10" ht="14.25" x14ac:dyDescent="0.2">
      <c r="B37" s="221" t="s">
        <v>227</v>
      </c>
      <c r="C37" s="165"/>
      <c r="D37" s="165"/>
      <c r="E37" s="165"/>
      <c r="G37" s="49"/>
      <c r="H37" s="25"/>
      <c r="I37" s="175" t="s">
        <v>228</v>
      </c>
      <c r="J37" s="165"/>
    </row>
    <row r="38" spans="2:10" ht="12.75" x14ac:dyDescent="0.2">
      <c r="G38" s="49"/>
      <c r="H38" s="25"/>
      <c r="I38" s="41"/>
    </row>
    <row r="39" spans="2:10" ht="14.25" x14ac:dyDescent="0.2">
      <c r="B39" s="222" t="s">
        <v>80</v>
      </c>
      <c r="C39" s="165"/>
      <c r="D39" s="165"/>
      <c r="E39" s="165"/>
      <c r="F39" s="165"/>
      <c r="G39" s="165"/>
      <c r="H39" s="165"/>
      <c r="I39" s="165"/>
      <c r="J39" s="165"/>
    </row>
    <row r="40" spans="2:10" ht="14.25" x14ac:dyDescent="0.2">
      <c r="B40" s="222" t="s">
        <v>113</v>
      </c>
      <c r="C40" s="165"/>
      <c r="D40" s="165"/>
      <c r="E40" s="165"/>
      <c r="F40" s="165"/>
      <c r="G40" s="165"/>
      <c r="H40" s="165"/>
      <c r="I40" s="165"/>
      <c r="J40" s="165"/>
    </row>
    <row r="41" spans="2:10" ht="12.75" x14ac:dyDescent="0.2">
      <c r="D41" s="25"/>
      <c r="F41" s="25"/>
      <c r="G41" s="49"/>
      <c r="H41" s="25"/>
      <c r="I41" s="41"/>
    </row>
    <row r="42" spans="2:10" ht="12.75" x14ac:dyDescent="0.2">
      <c r="D42" s="25"/>
      <c r="F42" s="25"/>
      <c r="G42" s="49"/>
      <c r="H42" s="25"/>
      <c r="I42" s="41"/>
    </row>
    <row r="43" spans="2:10" ht="12.75" x14ac:dyDescent="0.2">
      <c r="D43" s="25"/>
      <c r="F43" s="25"/>
      <c r="G43" s="49"/>
      <c r="H43" s="25"/>
      <c r="I43" s="41"/>
    </row>
    <row r="44" spans="2:10" ht="12.75" x14ac:dyDescent="0.2">
      <c r="D44" s="25"/>
      <c r="F44" s="25"/>
      <c r="G44" s="49"/>
      <c r="H44" s="25"/>
      <c r="I44" s="41"/>
    </row>
  </sheetData>
  <mergeCells count="22">
    <mergeCell ref="B35:J35"/>
    <mergeCell ref="B37:E37"/>
    <mergeCell ref="I37:J37"/>
    <mergeCell ref="B39:J39"/>
    <mergeCell ref="B40:J40"/>
    <mergeCell ref="C14:J14"/>
    <mergeCell ref="B15:J15"/>
    <mergeCell ref="B28:E28"/>
    <mergeCell ref="B29:J29"/>
    <mergeCell ref="C34:J34"/>
    <mergeCell ref="B17:E17"/>
    <mergeCell ref="I17:J17"/>
    <mergeCell ref="B18:J18"/>
    <mergeCell ref="B20:J20"/>
    <mergeCell ref="C25:J25"/>
    <mergeCell ref="B26:J26"/>
    <mergeCell ref="I28:J28"/>
    <mergeCell ref="B1:H1"/>
    <mergeCell ref="B3:C3"/>
    <mergeCell ref="B8:E8"/>
    <mergeCell ref="I8:J8"/>
    <mergeCell ref="B9:J9"/>
  </mergeCells>
  <conditionalFormatting sqref="I12">
    <cfRule type="expression" dxfId="25" priority="2">
      <formula>AND(ISNUMBER(SEARCH("pigs",I12)),ISNUMBER(SEARCH("haiku",I12)))</formula>
    </cfRule>
  </conditionalFormatting>
  <conditionalFormatting sqref="I23">
    <cfRule type="containsText" dxfId="24" priority="1" operator="containsText" text="brown">
      <formula>NOT(ISERROR(SEARCH(("brown"),(I23))))</formula>
    </cfRule>
  </conditionalFormatting>
  <conditionalFormatting sqref="I32">
    <cfRule type="containsText" dxfId="23" priority="3" operator="containsText" text="brown">
      <formula>NOT(ISERROR(SEARCH(("brown"),(I32))))</formula>
    </cfRule>
  </conditionalFormatting>
  <hyperlinks>
    <hyperlink ref="C4" location="C4Exercise1" display="Exercise 4.1 - Haiku Topic" xr:uid="{00000000-0004-0000-0A00-000000000000}"/>
    <hyperlink ref="C5" location="C4Exercise2" display="Exercise 4.2 - Dog Question with Typos" xr:uid="{00000000-0004-0000-0A00-000001000000}"/>
    <hyperlink ref="C6" location="C4Exercise3" display="Exercise 4.3 - Dog Question Part 2" xr:uid="{00000000-0004-0000-0A00-000002000000}"/>
    <hyperlink ref="I8" location="C4ExerciseTitle" display="Back to top ↑" xr:uid="{00000000-0004-0000-0A00-000003000000}"/>
    <hyperlink ref="I17" location="C4ExerciseTitle" display="Back to top ↑" xr:uid="{00000000-0004-0000-0A00-000004000000}"/>
    <hyperlink ref="I28" location="C4ExerciseTitle" display="Back to top ↑" xr:uid="{00000000-0004-0000-0A00-000005000000}"/>
    <hyperlink ref="B37" location="C4LessonTitle" display="← Chapter 4: Separating Data from Instructions" xr:uid="{00000000-0004-0000-0A00-000006000000}"/>
    <hyperlink ref="I37" location="C5LessonTitle" display="Chapter 5: Formatting Output &amp; Speaking for Claude →" xr:uid="{00000000-0004-0000-0A00-000007000000}"/>
    <hyperlink ref="B39" location="C4ExerciseTitle" display="Back to top ↑" xr:uid="{00000000-0004-0000-0A00-000008000000}"/>
    <hyperlink ref="B40" location="IntroTitle" display="Table of Contents" xr:uid="{00000000-0004-0000-0A00-000009000000}"/>
  </hyperlinks>
  <pageMargins left="0.7" right="0.7" top="0.75" bottom="0.75" header="0.3" footer="0.3"/>
  <pageSetup paperSize="9" scale="55"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D966"/>
    <outlinePr summaryBelow="0" summaryRight="0"/>
    <pageSetUpPr fitToPage="1"/>
  </sheetPr>
  <dimension ref="A1:K70"/>
  <sheetViews>
    <sheetView showGridLines="0" workbookViewId="0"/>
  </sheetViews>
  <sheetFormatPr defaultColWidth="12.5703125" defaultRowHeight="15.75" customHeight="1" outlineLevelRow="1" x14ac:dyDescent="0.2"/>
  <cols>
    <col min="1" max="1" width="5.42578125" customWidth="1"/>
    <col min="2" max="2" width="3" customWidth="1"/>
    <col min="3" max="3" width="28.28515625" customWidth="1"/>
    <col min="4" max="4" width="4" customWidth="1"/>
    <col min="5" max="5" width="19.7109375" customWidth="1"/>
    <col min="6" max="6" width="4" customWidth="1"/>
    <col min="7" max="7" width="33.5703125" customWidth="1"/>
    <col min="8" max="8" width="4" customWidth="1"/>
    <col min="9" max="9" width="52.28515625" customWidth="1"/>
    <col min="10" max="10" width="3" customWidth="1"/>
    <col min="11" max="11" width="5.42578125" customWidth="1"/>
  </cols>
  <sheetData>
    <row r="1" spans="1:11" ht="32.25" customHeight="1" x14ac:dyDescent="0.4">
      <c r="A1" s="1"/>
      <c r="B1" s="164" t="s">
        <v>59</v>
      </c>
      <c r="C1" s="165"/>
      <c r="D1" s="165"/>
      <c r="E1" s="165"/>
      <c r="F1" s="165"/>
      <c r="G1" s="165"/>
      <c r="H1" s="111"/>
      <c r="I1" s="96"/>
      <c r="J1" s="3"/>
      <c r="K1" s="3"/>
    </row>
    <row r="2" spans="1:11" ht="21.75" customHeight="1" x14ac:dyDescent="0.2">
      <c r="D2" s="25"/>
      <c r="F2" s="25"/>
      <c r="G2" s="49"/>
      <c r="H2" s="25"/>
      <c r="I2" s="41"/>
    </row>
    <row r="3" spans="1:11" ht="21.75" customHeight="1" x14ac:dyDescent="0.3">
      <c r="A3" s="16"/>
      <c r="B3" s="194" t="s">
        <v>76</v>
      </c>
      <c r="C3" s="165"/>
      <c r="D3" s="25"/>
      <c r="F3" s="25"/>
      <c r="G3" s="16"/>
      <c r="H3" s="97"/>
    </row>
    <row r="4" spans="1:11" ht="15.75" customHeight="1" x14ac:dyDescent="0.2">
      <c r="A4" s="16"/>
      <c r="C4" s="40" t="s">
        <v>53</v>
      </c>
      <c r="D4" s="25"/>
      <c r="F4" s="25"/>
      <c r="G4" s="16"/>
      <c r="H4" s="25"/>
      <c r="I4" s="20"/>
    </row>
    <row r="5" spans="1:11" ht="15.75" customHeight="1" x14ac:dyDescent="0.2">
      <c r="A5" s="16"/>
      <c r="C5" s="40" t="s">
        <v>77</v>
      </c>
      <c r="D5" s="25"/>
      <c r="F5" s="25"/>
      <c r="G5" s="16"/>
      <c r="H5" s="25"/>
      <c r="I5" s="20"/>
    </row>
    <row r="6" spans="1:11" ht="15.75" customHeight="1" x14ac:dyDescent="0.2">
      <c r="A6" s="16" t="s">
        <v>78</v>
      </c>
      <c r="C6" s="40" t="s">
        <v>79</v>
      </c>
      <c r="D6" s="25"/>
      <c r="F6" s="25"/>
      <c r="G6" s="16" t="s">
        <v>78</v>
      </c>
      <c r="H6" s="25"/>
      <c r="I6" s="20"/>
    </row>
    <row r="7" spans="1:11" ht="33.75" customHeight="1" x14ac:dyDescent="0.2">
      <c r="D7" s="25"/>
      <c r="F7" s="25"/>
      <c r="H7" s="25"/>
    </row>
    <row r="8" spans="1:11" ht="29.25" customHeight="1" x14ac:dyDescent="0.2">
      <c r="A8" s="41"/>
      <c r="B8" s="195" t="s">
        <v>53</v>
      </c>
      <c r="C8" s="196"/>
      <c r="D8" s="196"/>
      <c r="E8" s="196"/>
      <c r="F8" s="98"/>
      <c r="G8" s="112"/>
      <c r="H8" s="98"/>
      <c r="I8" s="197" t="s">
        <v>80</v>
      </c>
      <c r="J8" s="198"/>
      <c r="K8" s="41"/>
    </row>
    <row r="9" spans="1:11" ht="13.5" x14ac:dyDescent="0.25">
      <c r="B9" s="220" t="s">
        <v>229</v>
      </c>
      <c r="C9" s="188"/>
      <c r="D9" s="188"/>
      <c r="E9" s="188"/>
      <c r="F9" s="188"/>
      <c r="G9" s="188"/>
      <c r="H9" s="188"/>
      <c r="I9" s="188"/>
      <c r="J9" s="189"/>
    </row>
    <row r="10" spans="1:11" ht="33.75" customHeight="1" x14ac:dyDescent="0.2">
      <c r="D10" s="25"/>
      <c r="F10" s="25"/>
      <c r="G10" s="49"/>
      <c r="H10" s="25"/>
      <c r="I10" s="41"/>
    </row>
    <row r="11" spans="1:11" ht="29.25" customHeight="1" x14ac:dyDescent="0.2">
      <c r="B11" s="195" t="s">
        <v>77</v>
      </c>
      <c r="C11" s="196"/>
      <c r="D11" s="196"/>
      <c r="E11" s="196"/>
      <c r="F11" s="98"/>
      <c r="G11" s="99"/>
      <c r="H11" s="98"/>
      <c r="I11" s="197" t="s">
        <v>80</v>
      </c>
      <c r="J11" s="198"/>
    </row>
    <row r="12" spans="1:11" ht="12.75" x14ac:dyDescent="0.2">
      <c r="B12" s="200" t="s">
        <v>230</v>
      </c>
      <c r="C12" s="165"/>
      <c r="D12" s="165"/>
      <c r="E12" s="165"/>
      <c r="F12" s="165"/>
      <c r="G12" s="165"/>
      <c r="H12" s="165"/>
      <c r="I12" s="165"/>
      <c r="J12" s="170"/>
    </row>
    <row r="13" spans="1:11" ht="8.25" customHeight="1" x14ac:dyDescent="0.2">
      <c r="B13" s="15"/>
      <c r="D13" s="25"/>
      <c r="F13" s="25"/>
      <c r="G13" s="49"/>
      <c r="H13" s="25"/>
      <c r="I13" s="41"/>
      <c r="J13" s="17"/>
    </row>
    <row r="14" spans="1:11" ht="15" x14ac:dyDescent="0.25">
      <c r="A14" s="20"/>
      <c r="B14" s="19"/>
      <c r="C14" s="100" t="s">
        <v>184</v>
      </c>
      <c r="D14" s="101"/>
      <c r="E14" s="100" t="s">
        <v>185</v>
      </c>
      <c r="F14" s="101"/>
      <c r="G14" s="102" t="s">
        <v>186</v>
      </c>
      <c r="H14" s="101"/>
      <c r="I14" s="103" t="s">
        <v>91</v>
      </c>
      <c r="J14" s="21"/>
      <c r="K14" s="20"/>
    </row>
    <row r="15" spans="1:11" ht="79.5" customHeight="1" x14ac:dyDescent="0.2">
      <c r="B15" s="15"/>
      <c r="C15" s="104" t="s">
        <v>231</v>
      </c>
      <c r="D15" s="105" t="s">
        <v>188</v>
      </c>
      <c r="E15" s="106" t="s">
        <v>232</v>
      </c>
      <c r="F15" s="107" t="s">
        <v>190</v>
      </c>
      <c r="G15" s="46" t="str">
        <f>SUBSTITUTE(C15,"{{ANIMAL}}",E15)</f>
        <v>User: Please write a haiku about Rabbit. Put it in &lt;haiku&gt; tags.</v>
      </c>
      <c r="H15" s="47" t="s">
        <v>93</v>
      </c>
      <c r="I15" s="48" t="e">
        <f ca="1">claudeMessages($G15,'Tutorial How-To'!$E$37,"temperature",0)</f>
        <v>#NAME?</v>
      </c>
      <c r="J15" s="17"/>
    </row>
    <row r="16" spans="1:11" ht="15.75" customHeight="1" x14ac:dyDescent="0.2">
      <c r="B16" s="15"/>
      <c r="C16" s="108"/>
      <c r="D16" s="47"/>
      <c r="E16" s="109"/>
      <c r="F16" s="25"/>
      <c r="G16" s="109"/>
      <c r="H16" s="25"/>
      <c r="I16" s="109"/>
      <c r="J16" s="17"/>
    </row>
    <row r="17" spans="1:11" ht="12.75" x14ac:dyDescent="0.2">
      <c r="B17" s="200" t="s">
        <v>233</v>
      </c>
      <c r="C17" s="165"/>
      <c r="D17" s="165"/>
      <c r="E17" s="165"/>
      <c r="F17" s="165"/>
      <c r="G17" s="165"/>
      <c r="H17" s="165"/>
      <c r="I17" s="165"/>
      <c r="J17" s="170"/>
    </row>
    <row r="18" spans="1:11" ht="11.25" customHeight="1" x14ac:dyDescent="0.2">
      <c r="B18" s="8"/>
      <c r="C18" s="9"/>
      <c r="D18" s="113"/>
      <c r="E18" s="9"/>
      <c r="F18" s="113"/>
      <c r="G18" s="9"/>
      <c r="H18" s="113"/>
      <c r="I18" s="9"/>
      <c r="J18" s="11"/>
    </row>
    <row r="19" spans="1:11" ht="12.75" x14ac:dyDescent="0.2">
      <c r="B19" s="200" t="s">
        <v>234</v>
      </c>
      <c r="C19" s="165"/>
      <c r="D19" s="165"/>
      <c r="E19" s="165"/>
      <c r="F19" s="165"/>
      <c r="G19" s="165"/>
      <c r="H19" s="165"/>
      <c r="I19" s="165"/>
      <c r="J19" s="170"/>
    </row>
    <row r="20" spans="1:11" ht="8.25" customHeight="1" x14ac:dyDescent="0.2">
      <c r="B20" s="15"/>
      <c r="D20" s="25"/>
      <c r="F20" s="25"/>
      <c r="G20" s="49"/>
      <c r="H20" s="25"/>
      <c r="I20" s="41"/>
      <c r="J20" s="17"/>
    </row>
    <row r="21" spans="1:11" ht="15" x14ac:dyDescent="0.25">
      <c r="A21" s="20"/>
      <c r="B21" s="19"/>
      <c r="C21" s="100" t="s">
        <v>184</v>
      </c>
      <c r="D21" s="101"/>
      <c r="E21" s="100" t="s">
        <v>185</v>
      </c>
      <c r="F21" s="101"/>
      <c r="G21" s="102" t="s">
        <v>186</v>
      </c>
      <c r="H21" s="101"/>
      <c r="I21" s="103" t="s">
        <v>91</v>
      </c>
      <c r="J21" s="21"/>
      <c r="K21" s="20"/>
    </row>
    <row r="22" spans="1:11" ht="78.75" customHeight="1" x14ac:dyDescent="0.2">
      <c r="B22" s="15"/>
      <c r="C22" s="104" t="s">
        <v>235</v>
      </c>
      <c r="D22" s="105" t="s">
        <v>188</v>
      </c>
      <c r="E22" s="106" t="s">
        <v>236</v>
      </c>
      <c r="F22" s="107" t="s">
        <v>190</v>
      </c>
      <c r="G22" s="46" t="str">
        <f>SUBSTITUTE(C22,"{{ANIMAL}}",E22)</f>
        <v>User: Please write a haiku about Cat. Put it in &lt;haiku&gt; tags.
Assistant: &lt;haiku&gt;</v>
      </c>
      <c r="H22" s="47" t="s">
        <v>93</v>
      </c>
      <c r="I22" s="48" t="e">
        <f ca="1">claudeMessages($G22,'Tutorial How-To'!$E$37,"temperature",0)</f>
        <v>#NAME?</v>
      </c>
      <c r="J22" s="17"/>
    </row>
    <row r="23" spans="1:11" ht="15.75" customHeight="1" x14ac:dyDescent="0.2">
      <c r="B23" s="8"/>
      <c r="C23" s="9"/>
      <c r="D23" s="9"/>
      <c r="E23" s="9"/>
      <c r="F23" s="9"/>
      <c r="G23" s="9"/>
      <c r="H23" s="9"/>
      <c r="I23" s="9"/>
      <c r="J23" s="11"/>
    </row>
    <row r="24" spans="1:11" ht="28.5" customHeight="1" x14ac:dyDescent="0.2">
      <c r="B24" s="200" t="s">
        <v>237</v>
      </c>
      <c r="C24" s="165"/>
      <c r="D24" s="165"/>
      <c r="E24" s="165"/>
      <c r="F24" s="165"/>
      <c r="G24" s="165"/>
      <c r="H24" s="165"/>
      <c r="I24" s="165"/>
      <c r="J24" s="170"/>
    </row>
    <row r="25" spans="1:11" ht="15.75" customHeight="1" x14ac:dyDescent="0.2">
      <c r="B25" s="15"/>
      <c r="D25" s="25"/>
      <c r="F25" s="25"/>
      <c r="G25" s="49"/>
      <c r="H25" s="25"/>
      <c r="I25" s="41"/>
      <c r="J25" s="17"/>
    </row>
    <row r="26" spans="1:11" ht="15" x14ac:dyDescent="0.25">
      <c r="B26" s="19"/>
      <c r="C26" s="100" t="s">
        <v>184</v>
      </c>
      <c r="D26" s="101"/>
      <c r="E26" s="100" t="s">
        <v>185</v>
      </c>
      <c r="F26" s="101"/>
      <c r="G26" s="102" t="s">
        <v>186</v>
      </c>
      <c r="H26" s="101"/>
      <c r="I26" s="103" t="s">
        <v>91</v>
      </c>
      <c r="J26" s="21"/>
    </row>
    <row r="27" spans="1:11" ht="108.75" customHeight="1" x14ac:dyDescent="0.2">
      <c r="B27" s="15"/>
      <c r="C27" s="104" t="s">
        <v>238</v>
      </c>
      <c r="D27" s="105" t="s">
        <v>188</v>
      </c>
      <c r="E27" s="106" t="s">
        <v>236</v>
      </c>
      <c r="F27" s="107" t="s">
        <v>190</v>
      </c>
      <c r="G27" s="46" t="str">
        <f>SUBSTITUTE(C27,"{{ANIMAL}}",E27)</f>
        <v>User: Please write a haiku about Cat. Use JSON format with the keys as "first_line", "second_line", and "third_line".
Assistant: {</v>
      </c>
      <c r="H27" s="47" t="s">
        <v>93</v>
      </c>
      <c r="I27" s="48" t="e">
        <f ca="1">claudeMessages($G27,'Tutorial How-To'!$E$37,"temperature",0)</f>
        <v>#NAME?</v>
      </c>
      <c r="J27" s="17"/>
    </row>
    <row r="28" spans="1:11" ht="20.25" customHeight="1" x14ac:dyDescent="0.2">
      <c r="B28" s="15"/>
      <c r="C28" s="109"/>
      <c r="D28" s="105"/>
      <c r="E28" s="109"/>
      <c r="F28" s="107"/>
      <c r="G28" s="109"/>
      <c r="H28" s="47"/>
      <c r="I28" s="109"/>
      <c r="J28" s="17"/>
    </row>
    <row r="29" spans="1:11" ht="12.75" x14ac:dyDescent="0.2">
      <c r="B29" s="200" t="s">
        <v>239</v>
      </c>
      <c r="C29" s="165"/>
      <c r="D29" s="165"/>
      <c r="E29" s="165"/>
      <c r="F29" s="165"/>
      <c r="G29" s="165"/>
      <c r="H29" s="165"/>
      <c r="I29" s="165"/>
      <c r="J29" s="170"/>
    </row>
    <row r="30" spans="1:11" ht="8.25" customHeight="1" x14ac:dyDescent="0.2">
      <c r="B30" s="15"/>
      <c r="D30" s="25"/>
      <c r="F30" s="25"/>
      <c r="G30" s="49"/>
      <c r="H30" s="25"/>
      <c r="I30" s="41"/>
      <c r="J30" s="17"/>
    </row>
    <row r="31" spans="1:11" ht="15" x14ac:dyDescent="0.25">
      <c r="A31" s="20"/>
      <c r="B31" s="19"/>
      <c r="C31" s="100" t="s">
        <v>184</v>
      </c>
      <c r="D31" s="101"/>
      <c r="E31" s="100" t="s">
        <v>193</v>
      </c>
      <c r="F31" s="101"/>
      <c r="G31" s="102" t="s">
        <v>186</v>
      </c>
      <c r="H31" s="101"/>
      <c r="I31" s="103" t="s">
        <v>91</v>
      </c>
      <c r="J31" s="21"/>
      <c r="K31" s="20"/>
    </row>
    <row r="32" spans="1:11" ht="86.25" customHeight="1" x14ac:dyDescent="0.2">
      <c r="B32" s="15"/>
      <c r="C32" s="266" t="s">
        <v>240</v>
      </c>
      <c r="D32" s="105" t="s">
        <v>188</v>
      </c>
      <c r="E32" s="106" t="s">
        <v>241</v>
      </c>
      <c r="F32" s="267" t="s">
        <v>190</v>
      </c>
      <c r="G32" s="205" t="str">
        <f>SUBSTITUTE(SUBSTITUTE(C32,"{{EMAIL}}",E32),"{{ADJECTIVE}}",E35)</f>
        <v>User: Hey Claude. Here is an email: &lt;email&gt;Hi Zack, just pinging you for a quick update on that prompt you were supposed to write.&lt;/email&gt;. Make this email more olde english. Write the new version in &lt;olde english_email&gt; XML tags.
Assistant: &lt;olde english_email&gt;</v>
      </c>
      <c r="H32" s="208" t="s">
        <v>93</v>
      </c>
      <c r="I32" s="245" t="e">
        <f ca="1">claudeMessages($G32,'Tutorial How-To'!$E$37,"temperature",0)</f>
        <v>#NAME?</v>
      </c>
      <c r="J32" s="17"/>
    </row>
    <row r="33" spans="1:11" ht="8.25" customHeight="1" x14ac:dyDescent="0.2">
      <c r="B33" s="15"/>
      <c r="C33" s="252"/>
      <c r="D33" s="25"/>
      <c r="F33" s="165"/>
      <c r="G33" s="206"/>
      <c r="H33" s="165"/>
      <c r="I33" s="206"/>
      <c r="J33" s="17"/>
    </row>
    <row r="34" spans="1:11" ht="15" x14ac:dyDescent="0.25">
      <c r="A34" s="20"/>
      <c r="B34" s="19"/>
      <c r="C34" s="252"/>
      <c r="D34" s="101"/>
      <c r="E34" s="100" t="s">
        <v>242</v>
      </c>
      <c r="F34" s="165"/>
      <c r="G34" s="206"/>
      <c r="H34" s="165"/>
      <c r="I34" s="206"/>
      <c r="J34" s="21"/>
      <c r="K34" s="20"/>
    </row>
    <row r="35" spans="1:11" ht="88.5" customHeight="1" x14ac:dyDescent="0.2">
      <c r="B35" s="15"/>
      <c r="C35" s="253"/>
      <c r="D35" s="105" t="s">
        <v>188</v>
      </c>
      <c r="E35" s="106" t="s">
        <v>243</v>
      </c>
      <c r="F35" s="165"/>
      <c r="G35" s="207"/>
      <c r="H35" s="165"/>
      <c r="I35" s="207"/>
      <c r="J35" s="17"/>
    </row>
    <row r="36" spans="1:11" ht="15.75" customHeight="1" x14ac:dyDescent="0.2">
      <c r="B36" s="15"/>
      <c r="D36" s="25"/>
      <c r="F36" s="25"/>
      <c r="G36" s="49"/>
      <c r="H36" s="25"/>
      <c r="I36" s="41"/>
      <c r="J36" s="17"/>
    </row>
    <row r="37" spans="1:11" ht="15.75" customHeight="1" collapsed="1" x14ac:dyDescent="0.2">
      <c r="B37" s="268" t="s">
        <v>244</v>
      </c>
      <c r="C37" s="165"/>
      <c r="D37" s="165"/>
      <c r="E37" s="165"/>
      <c r="F37" s="165"/>
      <c r="G37" s="165"/>
      <c r="H37" s="165"/>
      <c r="I37" s="165"/>
      <c r="J37" s="170"/>
    </row>
    <row r="38" spans="1:11" ht="12.75" hidden="1" outlineLevel="1" x14ac:dyDescent="0.2">
      <c r="B38" s="264" t="s">
        <v>245</v>
      </c>
      <c r="C38" s="165"/>
      <c r="D38" s="165"/>
      <c r="E38" s="165"/>
      <c r="F38" s="165"/>
      <c r="G38" s="165"/>
      <c r="H38" s="165"/>
      <c r="I38" s="165"/>
      <c r="J38" s="170"/>
    </row>
    <row r="39" spans="1:11" ht="11.25" customHeight="1" x14ac:dyDescent="0.2">
      <c r="B39" s="8"/>
      <c r="C39" s="9"/>
      <c r="D39" s="9"/>
      <c r="E39" s="9"/>
      <c r="F39" s="9"/>
      <c r="G39" s="9"/>
      <c r="H39" s="9"/>
      <c r="I39" s="9"/>
      <c r="J39" s="11"/>
    </row>
    <row r="40" spans="1:11" ht="15.75" customHeight="1" x14ac:dyDescent="0.2">
      <c r="B40" s="220" t="s">
        <v>246</v>
      </c>
      <c r="C40" s="188"/>
      <c r="D40" s="188"/>
      <c r="E40" s="188"/>
      <c r="F40" s="188"/>
      <c r="G40" s="188"/>
      <c r="H40" s="188"/>
      <c r="I40" s="188"/>
      <c r="J40" s="189"/>
    </row>
    <row r="41" spans="1:11" ht="15.75" customHeight="1" x14ac:dyDescent="0.2">
      <c r="H41" s="114"/>
      <c r="I41" s="32"/>
      <c r="J41" s="32"/>
    </row>
    <row r="42" spans="1:11" ht="15.75" customHeight="1" x14ac:dyDescent="0.2">
      <c r="H42" s="25"/>
      <c r="I42" s="175" t="s">
        <v>247</v>
      </c>
      <c r="J42" s="165"/>
    </row>
    <row r="43" spans="1:11" ht="33.75" customHeight="1" x14ac:dyDescent="0.2">
      <c r="H43" s="25"/>
      <c r="I43" s="41"/>
    </row>
    <row r="44" spans="1:11" ht="29.25" customHeight="1" x14ac:dyDescent="0.2">
      <c r="B44" s="195" t="s">
        <v>79</v>
      </c>
      <c r="C44" s="196"/>
      <c r="D44" s="196"/>
      <c r="E44" s="196"/>
      <c r="F44" s="98"/>
      <c r="G44" s="99"/>
      <c r="H44" s="98"/>
      <c r="I44" s="197" t="s">
        <v>80</v>
      </c>
      <c r="J44" s="198"/>
    </row>
    <row r="45" spans="1:11" ht="12.75" x14ac:dyDescent="0.2">
      <c r="B45" s="200" t="s">
        <v>248</v>
      </c>
      <c r="C45" s="165"/>
      <c r="D45" s="165"/>
      <c r="E45" s="165"/>
      <c r="F45" s="165"/>
      <c r="G45" s="165"/>
      <c r="H45" s="165"/>
      <c r="I45" s="165"/>
      <c r="J45" s="170"/>
    </row>
    <row r="46" spans="1:11" ht="8.25" customHeight="1" x14ac:dyDescent="0.2">
      <c r="B46" s="15"/>
      <c r="D46" s="25"/>
      <c r="F46" s="25"/>
      <c r="G46" s="49"/>
      <c r="H46" s="25"/>
      <c r="I46" s="41"/>
      <c r="J46" s="17"/>
    </row>
    <row r="47" spans="1:11" ht="15" x14ac:dyDescent="0.25">
      <c r="A47" s="20"/>
      <c r="B47" s="19"/>
      <c r="C47" s="100" t="s">
        <v>184</v>
      </c>
      <c r="D47" s="101"/>
      <c r="E47" s="100" t="s">
        <v>185</v>
      </c>
      <c r="F47" s="101"/>
      <c r="G47" s="102" t="s">
        <v>186</v>
      </c>
      <c r="H47" s="101"/>
      <c r="I47" s="103" t="s">
        <v>91</v>
      </c>
      <c r="J47" s="21"/>
      <c r="K47" s="20"/>
    </row>
    <row r="48" spans="1:11" ht="79.5" customHeight="1" x14ac:dyDescent="0.2">
      <c r="B48" s="15"/>
      <c r="C48" s="104" t="s">
        <v>231</v>
      </c>
      <c r="D48" s="105" t="s">
        <v>188</v>
      </c>
      <c r="E48" s="106" t="s">
        <v>232</v>
      </c>
      <c r="F48" s="107" t="s">
        <v>190</v>
      </c>
      <c r="G48" s="46" t="str">
        <f>SUBSTITUTE(C48,"{{ANIMAL}}",E48)</f>
        <v>User: Please write a haiku about Rabbit. Put it in &lt;haiku&gt; tags.</v>
      </c>
      <c r="H48" s="47" t="s">
        <v>93</v>
      </c>
      <c r="I48" s="48" t="e">
        <f ca="1">claudeMessages($G48,'Tutorial How-To'!$E$37,"temperature",0)</f>
        <v>#NAME?</v>
      </c>
      <c r="J48" s="17"/>
    </row>
    <row r="49" spans="1:11" ht="8.25" customHeight="1" x14ac:dyDescent="0.2">
      <c r="B49" s="15"/>
      <c r="D49" s="25"/>
      <c r="F49" s="25"/>
      <c r="G49" s="49"/>
      <c r="H49" s="25"/>
      <c r="I49" s="41"/>
      <c r="J49" s="17"/>
    </row>
    <row r="50" spans="1:11" ht="15" x14ac:dyDescent="0.25">
      <c r="A50" s="20"/>
      <c r="B50" s="19"/>
      <c r="C50" s="100" t="s">
        <v>184</v>
      </c>
      <c r="D50" s="101"/>
      <c r="E50" s="100" t="s">
        <v>185</v>
      </c>
      <c r="F50" s="101"/>
      <c r="G50" s="102" t="s">
        <v>186</v>
      </c>
      <c r="H50" s="101"/>
      <c r="I50" s="103" t="s">
        <v>91</v>
      </c>
      <c r="J50" s="21"/>
      <c r="K50" s="20"/>
    </row>
    <row r="51" spans="1:11" ht="78.75" customHeight="1" x14ac:dyDescent="0.2">
      <c r="B51" s="15"/>
      <c r="C51" s="104" t="s">
        <v>235</v>
      </c>
      <c r="D51" s="105" t="s">
        <v>188</v>
      </c>
      <c r="E51" s="106" t="s">
        <v>236</v>
      </c>
      <c r="F51" s="107" t="s">
        <v>190</v>
      </c>
      <c r="G51" s="46" t="str">
        <f>SUBSTITUTE(C51,"{{ANIMAL}}",E51)</f>
        <v>User: Please write a haiku about Cat. Put it in &lt;haiku&gt; tags.
Assistant: &lt;haiku&gt;</v>
      </c>
      <c r="H51" s="47" t="s">
        <v>93</v>
      </c>
      <c r="I51" s="48" t="e">
        <f ca="1">claudeMessages($G51,'Tutorial How-To'!$E$37,"temperature",0)</f>
        <v>#NAME?</v>
      </c>
      <c r="J51" s="17"/>
    </row>
    <row r="52" spans="1:11" ht="8.25" customHeight="1" x14ac:dyDescent="0.2">
      <c r="B52" s="15"/>
      <c r="D52" s="25"/>
      <c r="F52" s="25"/>
      <c r="G52" s="49"/>
      <c r="H52" s="25"/>
      <c r="I52" s="41"/>
      <c r="J52" s="17"/>
    </row>
    <row r="53" spans="1:11" ht="15" x14ac:dyDescent="0.25">
      <c r="B53" s="19"/>
      <c r="C53" s="100" t="s">
        <v>184</v>
      </c>
      <c r="D53" s="101"/>
      <c r="E53" s="100" t="s">
        <v>185</v>
      </c>
      <c r="F53" s="101"/>
      <c r="G53" s="102" t="s">
        <v>186</v>
      </c>
      <c r="H53" s="101"/>
      <c r="I53" s="103" t="s">
        <v>91</v>
      </c>
      <c r="J53" s="21"/>
    </row>
    <row r="54" spans="1:11" ht="108.75" customHeight="1" x14ac:dyDescent="0.2">
      <c r="B54" s="15"/>
      <c r="C54" s="104" t="s">
        <v>238</v>
      </c>
      <c r="D54" s="105" t="s">
        <v>188</v>
      </c>
      <c r="E54" s="106" t="s">
        <v>236</v>
      </c>
      <c r="F54" s="107" t="s">
        <v>190</v>
      </c>
      <c r="G54" s="46" t="str">
        <f>SUBSTITUTE(C54,"{{ANIMAL}}",E54)</f>
        <v>User: Please write a haiku about Cat. Use JSON format with the keys as "first_line", "second_line", and "third_line".
Assistant: {</v>
      </c>
      <c r="H54" s="47" t="s">
        <v>93</v>
      </c>
      <c r="I54" s="48" t="e">
        <f ca="1">claudeMessages($G54,'Tutorial How-To'!$E$37,"temperature",0)</f>
        <v>#NAME?</v>
      </c>
      <c r="J54" s="17"/>
    </row>
    <row r="55" spans="1:11" ht="8.25" customHeight="1" x14ac:dyDescent="0.2">
      <c r="B55" s="15"/>
      <c r="D55" s="25"/>
      <c r="F55" s="25"/>
      <c r="G55" s="49"/>
      <c r="H55" s="25"/>
      <c r="I55" s="41"/>
      <c r="J55" s="17"/>
    </row>
    <row r="56" spans="1:11" ht="15.75" customHeight="1" x14ac:dyDescent="0.25">
      <c r="B56" s="15"/>
      <c r="C56" s="100" t="s">
        <v>184</v>
      </c>
      <c r="D56" s="105"/>
      <c r="E56" s="115" t="s">
        <v>193</v>
      </c>
      <c r="F56" s="107"/>
      <c r="G56" s="102" t="s">
        <v>186</v>
      </c>
      <c r="H56" s="47"/>
      <c r="I56" s="103" t="s">
        <v>91</v>
      </c>
      <c r="J56" s="17"/>
    </row>
    <row r="57" spans="1:11" ht="86.25" customHeight="1" x14ac:dyDescent="0.2">
      <c r="B57" s="15"/>
      <c r="C57" s="266" t="s">
        <v>240</v>
      </c>
      <c r="D57" s="105" t="s">
        <v>188</v>
      </c>
      <c r="E57" s="106" t="s">
        <v>241</v>
      </c>
      <c r="F57" s="267" t="s">
        <v>190</v>
      </c>
      <c r="G57" s="205" t="str">
        <f>SUBSTITUTE(SUBSTITUTE(C57,"{{EMAIL}}",E57),"{{ADJECTIVE}}",E60)</f>
        <v>User: Hey Claude. Here is an email: &lt;email&gt;Hi Zack, just pinging you for a quick update on that prompt you were supposed to write.&lt;/email&gt;. Make this email more olde english. Write the new version in &lt;olde english_email&gt; XML tags.
Assistant: &lt;olde english_email&gt;</v>
      </c>
      <c r="H57" s="208" t="s">
        <v>93</v>
      </c>
      <c r="I57" s="245" t="e">
        <f ca="1">claudeMessages($G57,'Tutorial How-To'!$E$37,"temperature",0)</f>
        <v>#NAME?</v>
      </c>
      <c r="J57" s="17"/>
    </row>
    <row r="58" spans="1:11" ht="8.25" customHeight="1" x14ac:dyDescent="0.2">
      <c r="B58" s="15"/>
      <c r="C58" s="252"/>
      <c r="D58" s="25"/>
      <c r="F58" s="165"/>
      <c r="G58" s="206"/>
      <c r="H58" s="165"/>
      <c r="I58" s="206"/>
      <c r="J58" s="17"/>
    </row>
    <row r="59" spans="1:11" ht="15" x14ac:dyDescent="0.25">
      <c r="A59" s="20"/>
      <c r="B59" s="19"/>
      <c r="C59" s="252"/>
      <c r="D59" s="101"/>
      <c r="E59" s="100" t="s">
        <v>242</v>
      </c>
      <c r="F59" s="165"/>
      <c r="G59" s="206"/>
      <c r="H59" s="165"/>
      <c r="I59" s="206"/>
      <c r="J59" s="21"/>
      <c r="K59" s="20"/>
    </row>
    <row r="60" spans="1:11" ht="88.5" customHeight="1" x14ac:dyDescent="0.2">
      <c r="B60" s="15"/>
      <c r="C60" s="253"/>
      <c r="D60" s="105" t="s">
        <v>188</v>
      </c>
      <c r="E60" s="106" t="s">
        <v>243</v>
      </c>
      <c r="F60" s="165"/>
      <c r="G60" s="207"/>
      <c r="H60" s="165"/>
      <c r="I60" s="207"/>
      <c r="J60" s="17"/>
    </row>
    <row r="61" spans="1:11" ht="15.75" customHeight="1" x14ac:dyDescent="0.2">
      <c r="B61" s="61"/>
      <c r="C61" s="116"/>
      <c r="D61" s="117"/>
      <c r="E61" s="118"/>
      <c r="F61" s="119"/>
      <c r="G61" s="118"/>
      <c r="H61" s="119"/>
      <c r="I61" s="118"/>
      <c r="J61" s="39"/>
    </row>
    <row r="62" spans="1:11" ht="12.75" x14ac:dyDescent="0.2">
      <c r="D62" s="25"/>
      <c r="F62" s="25"/>
      <c r="G62" s="49"/>
      <c r="H62" s="25"/>
      <c r="I62" s="41"/>
    </row>
    <row r="63" spans="1:11" ht="14.25" x14ac:dyDescent="0.2">
      <c r="B63" s="221" t="s">
        <v>249</v>
      </c>
      <c r="C63" s="165"/>
      <c r="D63" s="165"/>
      <c r="E63" s="165"/>
      <c r="G63" s="49"/>
      <c r="H63" s="25"/>
      <c r="I63" s="175" t="s">
        <v>247</v>
      </c>
      <c r="J63" s="165"/>
    </row>
    <row r="64" spans="1:11" ht="12.75" x14ac:dyDescent="0.2">
      <c r="G64" s="49"/>
      <c r="H64" s="25"/>
      <c r="I64" s="41"/>
    </row>
    <row r="65" spans="2:10" ht="14.25" x14ac:dyDescent="0.2">
      <c r="B65" s="222" t="s">
        <v>80</v>
      </c>
      <c r="C65" s="165"/>
      <c r="D65" s="165"/>
      <c r="E65" s="165"/>
      <c r="F65" s="165"/>
      <c r="G65" s="165"/>
      <c r="H65" s="165"/>
      <c r="I65" s="165"/>
      <c r="J65" s="165"/>
    </row>
    <row r="66" spans="2:10" ht="14.25" x14ac:dyDescent="0.2">
      <c r="B66" s="222" t="s">
        <v>113</v>
      </c>
      <c r="C66" s="165"/>
      <c r="D66" s="165"/>
      <c r="E66" s="165"/>
      <c r="F66" s="165"/>
      <c r="G66" s="165"/>
      <c r="H66" s="165"/>
      <c r="I66" s="165"/>
      <c r="J66" s="165"/>
    </row>
    <row r="67" spans="2:10" ht="12.75" x14ac:dyDescent="0.2">
      <c r="D67" s="25"/>
      <c r="F67" s="25"/>
      <c r="G67" s="49"/>
      <c r="H67" s="25"/>
      <c r="I67" s="41"/>
    </row>
    <row r="68" spans="2:10" ht="12.75" x14ac:dyDescent="0.2">
      <c r="D68" s="25"/>
      <c r="F68" s="25"/>
      <c r="G68" s="49"/>
      <c r="H68" s="25"/>
      <c r="I68" s="41"/>
    </row>
    <row r="69" spans="2:10" ht="12.75" x14ac:dyDescent="0.2">
      <c r="D69" s="25"/>
      <c r="F69" s="25"/>
      <c r="G69" s="49"/>
      <c r="H69" s="25"/>
      <c r="I69" s="41"/>
    </row>
    <row r="70" spans="2:10" ht="12.75" x14ac:dyDescent="0.2">
      <c r="D70" s="25"/>
      <c r="F70" s="25"/>
      <c r="G70" s="49"/>
      <c r="H70" s="25"/>
      <c r="I70" s="41"/>
    </row>
  </sheetData>
  <mergeCells count="33">
    <mergeCell ref="B45:J45"/>
    <mergeCell ref="B63:E63"/>
    <mergeCell ref="B65:J65"/>
    <mergeCell ref="B66:J66"/>
    <mergeCell ref="B44:E44"/>
    <mergeCell ref="C57:C60"/>
    <mergeCell ref="F57:F60"/>
    <mergeCell ref="G57:G60"/>
    <mergeCell ref="H57:H60"/>
    <mergeCell ref="I57:I60"/>
    <mergeCell ref="I63:J63"/>
    <mergeCell ref="B37:J37"/>
    <mergeCell ref="B38:J38"/>
    <mergeCell ref="B40:J40"/>
    <mergeCell ref="I42:J42"/>
    <mergeCell ref="I44:J44"/>
    <mergeCell ref="B11:E11"/>
    <mergeCell ref="I11:J11"/>
    <mergeCell ref="G32:G35"/>
    <mergeCell ref="H32:H35"/>
    <mergeCell ref="B12:J12"/>
    <mergeCell ref="B17:J17"/>
    <mergeCell ref="B19:J19"/>
    <mergeCell ref="B24:J24"/>
    <mergeCell ref="B29:J29"/>
    <mergeCell ref="C32:C35"/>
    <mergeCell ref="F32:F35"/>
    <mergeCell ref="I32:I35"/>
    <mergeCell ref="B1:G1"/>
    <mergeCell ref="B3:C3"/>
    <mergeCell ref="B8:E8"/>
    <mergeCell ref="I8:J8"/>
    <mergeCell ref="B9:J9"/>
  </mergeCells>
  <hyperlinks>
    <hyperlink ref="C4" location="C5Lesson" display="Lesson" xr:uid="{00000000-0004-0000-0B00-000000000000}"/>
    <hyperlink ref="C5" location="C5Examples" display="Examples" xr:uid="{00000000-0004-0000-0B00-000001000000}"/>
    <hyperlink ref="C6" location="C5ExamplePlayground" display="Example Playground" xr:uid="{00000000-0004-0000-0B00-000002000000}"/>
    <hyperlink ref="I8" location="C5LessonTitle" display="Back to top ↑" xr:uid="{00000000-0004-0000-0B00-000003000000}"/>
    <hyperlink ref="I11" location="C5LessonTitle" display="Back to top ↑" xr:uid="{00000000-0004-0000-0B00-000004000000}"/>
    <hyperlink ref="I42" location="C5ExerciseTitle" display="Chapter 5 Exercises: Formatting Output &amp; Speaking for Claude →" xr:uid="{00000000-0004-0000-0B00-000005000000}"/>
    <hyperlink ref="I44" location="C5LessonTitle" display="Back to top ↑" xr:uid="{00000000-0004-0000-0B00-000006000000}"/>
    <hyperlink ref="B63" location="C4ExerciseTitle" display="← Chapter 4 Exercises: Separating Data and Instructions" xr:uid="{00000000-0004-0000-0B00-000007000000}"/>
    <hyperlink ref="I63" location="C5ExerciseTitle" display="Chapter 5 Exercises: Formatting Output &amp; Speaking for Claude →" xr:uid="{00000000-0004-0000-0B00-000008000000}"/>
    <hyperlink ref="B65" location="C5LessonTitle" display="Back to top ↑" xr:uid="{00000000-0004-0000-0B00-000009000000}"/>
    <hyperlink ref="B66" location="IntroTitle" display="Table of Contents" xr:uid="{00000000-0004-0000-0B00-00000A000000}"/>
  </hyperlinks>
  <pageMargins left="0.7" right="0.7" top="0.75" bottom="0.75" header="0.3" footer="0.3"/>
  <pageSetup paperSize="9" scale="54"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D966"/>
    <outlinePr summaryBelow="0" summaryRight="0"/>
    <pageSetUpPr fitToPage="1"/>
  </sheetPr>
  <dimension ref="A1:K52"/>
  <sheetViews>
    <sheetView showGridLines="0" workbookViewId="0"/>
  </sheetViews>
  <sheetFormatPr defaultColWidth="12.5703125" defaultRowHeight="15.75" customHeight="1" outlineLevelRow="1" x14ac:dyDescent="0.2"/>
  <cols>
    <col min="1" max="1" width="5.42578125" customWidth="1"/>
    <col min="2" max="2" width="3" customWidth="1"/>
    <col min="3" max="3" width="40" customWidth="1"/>
    <col min="4" max="4" width="4" customWidth="1"/>
    <col min="5" max="5" width="20.140625" customWidth="1"/>
    <col min="6" max="6" width="4" customWidth="1"/>
    <col min="7" max="7" width="33.5703125" customWidth="1"/>
    <col min="8" max="8" width="4" customWidth="1"/>
    <col min="9" max="9" width="39.42578125" customWidth="1"/>
    <col min="10" max="10" width="3" customWidth="1"/>
    <col min="11" max="11" width="5.42578125" customWidth="1"/>
  </cols>
  <sheetData>
    <row r="1" spans="1:11" ht="32.25" customHeight="1" x14ac:dyDescent="0.4">
      <c r="A1" s="1"/>
      <c r="B1" s="164" t="s">
        <v>250</v>
      </c>
      <c r="C1" s="165"/>
      <c r="D1" s="165"/>
      <c r="E1" s="165"/>
      <c r="F1" s="165"/>
      <c r="G1" s="165"/>
      <c r="H1" s="165"/>
      <c r="I1" s="165"/>
      <c r="J1" s="3"/>
      <c r="K1" s="3"/>
    </row>
    <row r="2" spans="1:11" ht="21.75" customHeight="1" x14ac:dyDescent="0.2">
      <c r="D2" s="25"/>
      <c r="F2" s="25"/>
      <c r="G2" s="49"/>
      <c r="H2" s="25"/>
      <c r="I2" s="41"/>
    </row>
    <row r="3" spans="1:11" ht="21.75" customHeight="1" x14ac:dyDescent="0.3">
      <c r="A3" s="16"/>
      <c r="B3" s="194" t="s">
        <v>76</v>
      </c>
      <c r="C3" s="165"/>
      <c r="D3" s="25"/>
      <c r="F3" s="25"/>
      <c r="G3" s="16"/>
      <c r="H3" s="97"/>
    </row>
    <row r="4" spans="1:11" ht="15.75" customHeight="1" x14ac:dyDescent="0.2">
      <c r="A4" s="16"/>
      <c r="C4" s="40" t="s">
        <v>251</v>
      </c>
      <c r="D4" s="25"/>
      <c r="F4" s="25"/>
      <c r="G4" s="16"/>
      <c r="H4" s="25"/>
      <c r="I4" s="20"/>
    </row>
    <row r="5" spans="1:11" ht="15.75" customHeight="1" x14ac:dyDescent="0.2">
      <c r="A5" s="16"/>
      <c r="C5" s="40" t="s">
        <v>252</v>
      </c>
      <c r="D5" s="25"/>
      <c r="F5" s="25"/>
      <c r="G5" s="16"/>
      <c r="H5" s="25"/>
      <c r="I5" s="20"/>
    </row>
    <row r="6" spans="1:11" ht="15.75" customHeight="1" x14ac:dyDescent="0.2">
      <c r="A6" s="16" t="s">
        <v>78</v>
      </c>
      <c r="C6" s="40" t="s">
        <v>253</v>
      </c>
      <c r="D6" s="25"/>
      <c r="F6" s="25"/>
      <c r="G6" s="16" t="s">
        <v>78</v>
      </c>
      <c r="H6" s="25"/>
      <c r="I6" s="20"/>
    </row>
    <row r="7" spans="1:11" ht="33.75" customHeight="1" x14ac:dyDescent="0.2">
      <c r="D7" s="25"/>
      <c r="F7" s="25"/>
      <c r="H7" s="25"/>
    </row>
    <row r="8" spans="1:11" ht="29.25" customHeight="1" x14ac:dyDescent="0.2">
      <c r="B8" s="195" t="s">
        <v>251</v>
      </c>
      <c r="C8" s="196"/>
      <c r="D8" s="196"/>
      <c r="E8" s="196"/>
      <c r="F8" s="98"/>
      <c r="G8" s="99"/>
      <c r="H8" s="98"/>
      <c r="I8" s="197" t="s">
        <v>80</v>
      </c>
      <c r="J8" s="198"/>
    </row>
    <row r="9" spans="1:11" ht="12.75" x14ac:dyDescent="0.2">
      <c r="B9" s="200" t="s">
        <v>254</v>
      </c>
      <c r="C9" s="165"/>
      <c r="D9" s="165"/>
      <c r="E9" s="165"/>
      <c r="F9" s="165"/>
      <c r="G9" s="165"/>
      <c r="H9" s="165"/>
      <c r="I9" s="165"/>
      <c r="J9" s="170"/>
    </row>
    <row r="10" spans="1:11" ht="8.25" customHeight="1" x14ac:dyDescent="0.2">
      <c r="B10" s="15"/>
      <c r="D10" s="25"/>
      <c r="F10" s="25"/>
      <c r="G10" s="49"/>
      <c r="H10" s="25"/>
      <c r="I10" s="41"/>
      <c r="J10" s="17"/>
    </row>
    <row r="11" spans="1:11" ht="15" x14ac:dyDescent="0.25">
      <c r="A11" s="20"/>
      <c r="B11" s="19"/>
      <c r="C11" s="100" t="s">
        <v>184</v>
      </c>
      <c r="D11" s="101"/>
      <c r="E11" s="100"/>
      <c r="F11" s="101"/>
      <c r="G11" s="103" t="s">
        <v>91</v>
      </c>
      <c r="H11" s="101"/>
      <c r="I11" s="103"/>
      <c r="J11" s="21"/>
      <c r="K11" s="20"/>
    </row>
    <row r="12" spans="1:11" ht="95.25" customHeight="1" x14ac:dyDescent="0.2">
      <c r="B12" s="15"/>
      <c r="C12" s="269" t="s">
        <v>255</v>
      </c>
      <c r="D12" s="270"/>
      <c r="E12" s="271"/>
      <c r="F12" s="267" t="s">
        <v>190</v>
      </c>
      <c r="G12" s="278" t="e">
        <f ca="1">claudeMessages(C12, 'Tutorial How-To'!$E$37,"temperature",0)</f>
        <v>#NAME?</v>
      </c>
      <c r="H12" s="165"/>
      <c r="I12" s="165"/>
      <c r="J12" s="17"/>
    </row>
    <row r="13" spans="1:11" ht="95.25" customHeight="1" x14ac:dyDescent="0.2">
      <c r="B13" s="15"/>
      <c r="C13" s="272"/>
      <c r="D13" s="165"/>
      <c r="E13" s="273"/>
      <c r="F13" s="165"/>
      <c r="G13" s="165"/>
      <c r="H13" s="165"/>
      <c r="I13" s="165"/>
      <c r="J13" s="17"/>
    </row>
    <row r="14" spans="1:11" ht="95.25" customHeight="1" x14ac:dyDescent="0.2">
      <c r="B14" s="15"/>
      <c r="C14" s="274"/>
      <c r="D14" s="275"/>
      <c r="E14" s="276"/>
      <c r="F14" s="165"/>
      <c r="G14" s="165"/>
      <c r="H14" s="165"/>
      <c r="I14" s="165"/>
      <c r="J14" s="17"/>
    </row>
    <row r="15" spans="1:11" ht="15.75" customHeight="1" x14ac:dyDescent="0.2">
      <c r="B15" s="15"/>
      <c r="C15" s="108"/>
      <c r="D15" s="47"/>
      <c r="E15" s="109"/>
      <c r="F15" s="25"/>
      <c r="G15" s="109"/>
      <c r="H15" s="25"/>
      <c r="I15" s="109"/>
      <c r="J15" s="17"/>
    </row>
    <row r="16" spans="1:11" ht="14.25" collapsed="1" x14ac:dyDescent="0.2">
      <c r="B16" s="65" t="s">
        <v>120</v>
      </c>
      <c r="C16" s="224" t="s">
        <v>121</v>
      </c>
      <c r="D16" s="165"/>
      <c r="E16" s="165"/>
      <c r="F16" s="165"/>
      <c r="G16" s="165"/>
      <c r="H16" s="165"/>
      <c r="I16" s="165"/>
      <c r="J16" s="170"/>
    </row>
    <row r="17" spans="1:11" ht="12.75" hidden="1" outlineLevel="1" x14ac:dyDescent="0.2">
      <c r="B17" s="264" t="s">
        <v>256</v>
      </c>
      <c r="C17" s="165"/>
      <c r="D17" s="165"/>
      <c r="E17" s="165"/>
      <c r="F17" s="165"/>
      <c r="G17" s="165"/>
      <c r="H17" s="165"/>
      <c r="I17" s="165"/>
      <c r="J17" s="170"/>
    </row>
    <row r="18" spans="1:11" ht="33.75" customHeight="1" x14ac:dyDescent="0.2">
      <c r="B18" s="6"/>
      <c r="C18" s="6"/>
      <c r="D18" s="98"/>
      <c r="E18" s="6"/>
      <c r="F18" s="98"/>
      <c r="G18" s="99"/>
      <c r="H18" s="98"/>
      <c r="I18" s="110"/>
      <c r="J18" s="6"/>
    </row>
    <row r="19" spans="1:11" ht="29.25" customHeight="1" x14ac:dyDescent="0.2">
      <c r="B19" s="195" t="s">
        <v>252</v>
      </c>
      <c r="C19" s="196"/>
      <c r="D19" s="196"/>
      <c r="E19" s="196"/>
      <c r="F19" s="98"/>
      <c r="G19" s="99"/>
      <c r="H19" s="98"/>
      <c r="I19" s="197" t="s">
        <v>80</v>
      </c>
      <c r="J19" s="198"/>
    </row>
    <row r="20" spans="1:11" ht="12.75" x14ac:dyDescent="0.2">
      <c r="B20" s="200" t="s">
        <v>257</v>
      </c>
      <c r="C20" s="165"/>
      <c r="D20" s="165"/>
      <c r="E20" s="165"/>
      <c r="F20" s="165"/>
      <c r="G20" s="165"/>
      <c r="H20" s="165"/>
      <c r="I20" s="165"/>
      <c r="J20" s="170"/>
    </row>
    <row r="21" spans="1:11" ht="8.25" customHeight="1" x14ac:dyDescent="0.2">
      <c r="B21" s="15"/>
      <c r="D21" s="25"/>
      <c r="F21" s="25"/>
      <c r="G21" s="49"/>
      <c r="H21" s="25"/>
      <c r="I21" s="41"/>
      <c r="J21" s="17"/>
    </row>
    <row r="22" spans="1:11" ht="15" x14ac:dyDescent="0.25">
      <c r="A22" s="20"/>
      <c r="B22" s="19"/>
      <c r="C22" s="100" t="s">
        <v>184</v>
      </c>
      <c r="D22" s="101"/>
      <c r="E22" s="100" t="s">
        <v>185</v>
      </c>
      <c r="F22" s="101"/>
      <c r="G22" s="102" t="s">
        <v>186</v>
      </c>
      <c r="H22" s="101"/>
      <c r="I22" s="103" t="s">
        <v>91</v>
      </c>
      <c r="J22" s="21"/>
      <c r="K22" s="20"/>
    </row>
    <row r="23" spans="1:11" ht="71.25" customHeight="1" x14ac:dyDescent="0.2">
      <c r="B23" s="15"/>
      <c r="C23" s="266" t="s">
        <v>235</v>
      </c>
      <c r="D23" s="279" t="s">
        <v>188</v>
      </c>
      <c r="E23" s="280" t="s">
        <v>258</v>
      </c>
      <c r="F23" s="267" t="s">
        <v>190</v>
      </c>
      <c r="G23" s="205" t="str">
        <f>SUBSTITUTE(C23,"{{ANIMAL}}",E23)</f>
        <v>User: Please write a haiku about cats. Put it in &lt;haiku&gt; tags.
Assistant: &lt;haiku&gt;</v>
      </c>
      <c r="H23" s="208" t="s">
        <v>93</v>
      </c>
      <c r="I23" s="277" t="e">
        <f ca="1">claudeMessages(G23, 'Tutorial How-To'!$E$37,"temperature",0)</f>
        <v>#NAME?</v>
      </c>
      <c r="J23" s="21"/>
      <c r="K23" s="20"/>
    </row>
    <row r="24" spans="1:11" ht="71.25" customHeight="1" x14ac:dyDescent="0.2">
      <c r="B24" s="15"/>
      <c r="C24" s="253"/>
      <c r="D24" s="165"/>
      <c r="E24" s="207"/>
      <c r="F24" s="165"/>
      <c r="G24" s="207"/>
      <c r="H24" s="165"/>
      <c r="I24" s="165"/>
      <c r="J24" s="21"/>
      <c r="K24" s="20"/>
    </row>
    <row r="25" spans="1:11" ht="15.75" customHeight="1" x14ac:dyDescent="0.2">
      <c r="B25" s="15"/>
      <c r="C25" s="108"/>
      <c r="D25" s="47"/>
      <c r="E25" s="109"/>
      <c r="F25" s="25"/>
      <c r="G25" s="109"/>
      <c r="H25" s="25"/>
      <c r="I25" s="109"/>
      <c r="J25" s="17"/>
    </row>
    <row r="26" spans="1:11" ht="14.25" collapsed="1" x14ac:dyDescent="0.2">
      <c r="B26" s="65" t="s">
        <v>120</v>
      </c>
      <c r="C26" s="224" t="s">
        <v>121</v>
      </c>
      <c r="D26" s="165"/>
      <c r="E26" s="165"/>
      <c r="F26" s="165"/>
      <c r="G26" s="165"/>
      <c r="H26" s="165"/>
      <c r="I26" s="165"/>
      <c r="J26" s="170"/>
    </row>
    <row r="27" spans="1:11" ht="12.75" hidden="1" outlineLevel="1" x14ac:dyDescent="0.2">
      <c r="B27" s="264" t="s">
        <v>259</v>
      </c>
      <c r="C27" s="165"/>
      <c r="D27" s="165"/>
      <c r="E27" s="165"/>
      <c r="F27" s="165"/>
      <c r="G27" s="165"/>
      <c r="H27" s="165"/>
      <c r="I27" s="165"/>
      <c r="J27" s="170"/>
    </row>
    <row r="28" spans="1:11" ht="33.75" customHeight="1" x14ac:dyDescent="0.2">
      <c r="B28" s="6"/>
      <c r="C28" s="6"/>
      <c r="D28" s="98"/>
      <c r="E28" s="6"/>
      <c r="F28" s="98"/>
      <c r="G28" s="99"/>
      <c r="H28" s="98"/>
      <c r="I28" s="110"/>
      <c r="J28" s="6"/>
    </row>
    <row r="29" spans="1:11" ht="29.25" customHeight="1" x14ac:dyDescent="0.2">
      <c r="B29" s="195" t="s">
        <v>253</v>
      </c>
      <c r="C29" s="196"/>
      <c r="D29" s="196"/>
      <c r="E29" s="196"/>
      <c r="F29" s="98"/>
      <c r="G29" s="99"/>
      <c r="H29" s="98"/>
      <c r="I29" s="197" t="s">
        <v>80</v>
      </c>
      <c r="J29" s="198"/>
    </row>
    <row r="30" spans="1:11" ht="12.75" x14ac:dyDescent="0.2">
      <c r="B30" s="200" t="s">
        <v>260</v>
      </c>
      <c r="C30" s="165"/>
      <c r="D30" s="165"/>
      <c r="E30" s="165"/>
      <c r="F30" s="165"/>
      <c r="G30" s="165"/>
      <c r="H30" s="165"/>
      <c r="I30" s="165"/>
      <c r="J30" s="170"/>
    </row>
    <row r="31" spans="1:11" ht="8.25" customHeight="1" x14ac:dyDescent="0.2">
      <c r="B31" s="15"/>
      <c r="D31" s="25"/>
      <c r="F31" s="25"/>
      <c r="G31" s="49"/>
      <c r="H31" s="25"/>
      <c r="I31" s="41"/>
      <c r="J31" s="17"/>
    </row>
    <row r="32" spans="1:11" ht="15" x14ac:dyDescent="0.25">
      <c r="A32" s="20"/>
      <c r="B32" s="19"/>
      <c r="C32" s="100" t="s">
        <v>184</v>
      </c>
      <c r="D32" s="101"/>
      <c r="E32" s="100" t="s">
        <v>261</v>
      </c>
      <c r="F32" s="101"/>
      <c r="G32" s="102" t="s">
        <v>186</v>
      </c>
      <c r="H32" s="101"/>
      <c r="I32" s="103" t="s">
        <v>91</v>
      </c>
      <c r="J32" s="21"/>
      <c r="K32" s="20"/>
    </row>
    <row r="33" spans="1:11" ht="78" customHeight="1" x14ac:dyDescent="0.2">
      <c r="B33" s="15"/>
      <c r="C33" s="266" t="s">
        <v>262</v>
      </c>
      <c r="D33" s="105" t="s">
        <v>188</v>
      </c>
      <c r="E33" s="106" t="s">
        <v>236</v>
      </c>
      <c r="F33" s="267" t="s">
        <v>190</v>
      </c>
      <c r="G33" s="205" t="str">
        <f>SUBSTITUTE(SUBSTITUTE(C33,"{{ANIMAL1}}",E33),"{{ANIMAL2}}",E36)</f>
        <v>User: Please write a haiku about Cat. Put it in &lt;haiku&gt; tags.</v>
      </c>
      <c r="H33" s="208" t="s">
        <v>93</v>
      </c>
      <c r="I33" s="210" t="e">
        <f ca="1">claudeMessages(G33, 'Tutorial How-To'!$E$37,"temperature",0)</f>
        <v>#NAME?</v>
      </c>
      <c r="J33" s="17"/>
    </row>
    <row r="34" spans="1:11" ht="8.25" customHeight="1" x14ac:dyDescent="0.2">
      <c r="B34" s="15"/>
      <c r="C34" s="252"/>
      <c r="D34" s="47"/>
      <c r="E34" s="109"/>
      <c r="F34" s="165"/>
      <c r="G34" s="206"/>
      <c r="H34" s="165"/>
      <c r="I34" s="206"/>
      <c r="J34" s="17"/>
    </row>
    <row r="35" spans="1:11" ht="15.75" customHeight="1" x14ac:dyDescent="0.25">
      <c r="A35" s="20"/>
      <c r="B35" s="19"/>
      <c r="C35" s="252"/>
      <c r="D35" s="120"/>
      <c r="E35" s="100" t="s">
        <v>263</v>
      </c>
      <c r="F35" s="165"/>
      <c r="G35" s="206"/>
      <c r="H35" s="165"/>
      <c r="I35" s="206"/>
      <c r="J35" s="21"/>
      <c r="K35" s="20"/>
    </row>
    <row r="36" spans="1:11" ht="78" customHeight="1" x14ac:dyDescent="0.2">
      <c r="B36" s="15"/>
      <c r="C36" s="253"/>
      <c r="D36" s="105" t="s">
        <v>188</v>
      </c>
      <c r="E36" s="106" t="s">
        <v>264</v>
      </c>
      <c r="F36" s="165"/>
      <c r="G36" s="207"/>
      <c r="H36" s="165"/>
      <c r="I36" s="207"/>
      <c r="J36" s="17"/>
    </row>
    <row r="37" spans="1:11" ht="15.75" customHeight="1" x14ac:dyDescent="0.2">
      <c r="B37" s="15"/>
      <c r="C37" s="108"/>
      <c r="D37" s="47"/>
      <c r="E37" s="109"/>
      <c r="F37" s="25"/>
      <c r="G37" s="109"/>
      <c r="H37" s="25"/>
      <c r="I37" s="109"/>
      <c r="J37" s="17"/>
    </row>
    <row r="38" spans="1:11" ht="20.25" customHeight="1" collapsed="1" x14ac:dyDescent="0.2">
      <c r="B38" s="65" t="s">
        <v>120</v>
      </c>
      <c r="C38" s="224" t="s">
        <v>121</v>
      </c>
      <c r="D38" s="165"/>
      <c r="E38" s="165"/>
      <c r="F38" s="165"/>
      <c r="G38" s="165"/>
      <c r="H38" s="165"/>
      <c r="I38" s="165"/>
      <c r="J38" s="170"/>
    </row>
    <row r="39" spans="1:11" ht="20.25" hidden="1" customHeight="1" outlineLevel="1" x14ac:dyDescent="0.2">
      <c r="B39" s="281" t="s">
        <v>265</v>
      </c>
      <c r="C39" s="165"/>
      <c r="D39" s="165"/>
      <c r="E39" s="165"/>
      <c r="F39" s="165"/>
      <c r="G39" s="165"/>
      <c r="H39" s="165"/>
      <c r="I39" s="165"/>
      <c r="J39" s="170"/>
    </row>
    <row r="40" spans="1:11" ht="21.75" hidden="1" customHeight="1" outlineLevel="1" x14ac:dyDescent="0.2">
      <c r="B40" s="121" t="s">
        <v>266</v>
      </c>
      <c r="C40" s="282" t="s">
        <v>267</v>
      </c>
      <c r="D40" s="165"/>
      <c r="E40" s="165"/>
      <c r="F40" s="165"/>
      <c r="G40" s="165"/>
      <c r="H40" s="165"/>
      <c r="I40" s="165"/>
      <c r="J40" s="122"/>
    </row>
    <row r="41" spans="1:11" ht="35.25" hidden="1" customHeight="1" outlineLevel="1" x14ac:dyDescent="0.2">
      <c r="B41" s="121" t="s">
        <v>268</v>
      </c>
      <c r="C41" s="282" t="s">
        <v>269</v>
      </c>
      <c r="D41" s="165"/>
      <c r="E41" s="165"/>
      <c r="F41" s="165"/>
      <c r="G41" s="165"/>
      <c r="H41" s="165"/>
      <c r="I41" s="165"/>
      <c r="J41" s="122"/>
    </row>
    <row r="42" spans="1:11" ht="35.25" hidden="1" customHeight="1" outlineLevel="1" x14ac:dyDescent="0.2">
      <c r="B42" s="121" t="s">
        <v>270</v>
      </c>
      <c r="C42" s="282" t="s">
        <v>271</v>
      </c>
      <c r="D42" s="165"/>
      <c r="E42" s="165"/>
      <c r="F42" s="165"/>
      <c r="G42" s="165"/>
      <c r="H42" s="165"/>
      <c r="I42" s="165"/>
      <c r="J42" s="122"/>
    </row>
    <row r="43" spans="1:11" ht="25.5" hidden="1" customHeight="1" outlineLevel="1" x14ac:dyDescent="0.2">
      <c r="B43" s="264" t="s">
        <v>272</v>
      </c>
      <c r="C43" s="165"/>
      <c r="D43" s="165"/>
      <c r="E43" s="165"/>
      <c r="F43" s="165"/>
      <c r="G43" s="165"/>
      <c r="H43" s="165"/>
      <c r="I43" s="165"/>
      <c r="J43" s="122"/>
    </row>
    <row r="44" spans="1:11" ht="12.75" x14ac:dyDescent="0.2">
      <c r="B44" s="6"/>
      <c r="C44" s="6"/>
      <c r="D44" s="98"/>
      <c r="E44" s="6"/>
      <c r="F44" s="98"/>
      <c r="G44" s="99"/>
      <c r="H44" s="98"/>
      <c r="I44" s="110"/>
      <c r="J44" s="6"/>
    </row>
    <row r="45" spans="1:11" ht="14.25" x14ac:dyDescent="0.2">
      <c r="B45" s="221" t="s">
        <v>273</v>
      </c>
      <c r="C45" s="165"/>
      <c r="D45" s="165"/>
      <c r="E45" s="165"/>
      <c r="G45" s="49"/>
      <c r="H45" s="175" t="s">
        <v>274</v>
      </c>
      <c r="I45" s="165"/>
      <c r="J45" s="165"/>
    </row>
    <row r="46" spans="1:11" ht="12.75" x14ac:dyDescent="0.2">
      <c r="G46" s="49"/>
      <c r="H46" s="25"/>
      <c r="I46" s="41"/>
    </row>
    <row r="47" spans="1:11" ht="14.25" x14ac:dyDescent="0.2">
      <c r="B47" s="222" t="s">
        <v>80</v>
      </c>
      <c r="C47" s="165"/>
      <c r="D47" s="165"/>
      <c r="E47" s="165"/>
      <c r="F47" s="165"/>
      <c r="G47" s="165"/>
      <c r="H47" s="165"/>
      <c r="I47" s="165"/>
      <c r="J47" s="165"/>
    </row>
    <row r="48" spans="1:11" ht="14.25" x14ac:dyDescent="0.2">
      <c r="B48" s="222" t="s">
        <v>113</v>
      </c>
      <c r="C48" s="165"/>
      <c r="D48" s="165"/>
      <c r="E48" s="165"/>
      <c r="F48" s="165"/>
      <c r="G48" s="165"/>
      <c r="H48" s="165"/>
      <c r="I48" s="165"/>
      <c r="J48" s="165"/>
    </row>
    <row r="49" spans="4:9" ht="12.75" x14ac:dyDescent="0.2">
      <c r="D49" s="25"/>
      <c r="F49" s="25"/>
      <c r="G49" s="49"/>
      <c r="H49" s="25"/>
      <c r="I49" s="41"/>
    </row>
    <row r="50" spans="4:9" ht="12.75" x14ac:dyDescent="0.2">
      <c r="D50" s="25"/>
      <c r="F50" s="25"/>
      <c r="G50" s="49"/>
      <c r="H50" s="25"/>
      <c r="I50" s="41"/>
    </row>
    <row r="51" spans="4:9" ht="12.75" x14ac:dyDescent="0.2">
      <c r="D51" s="25"/>
      <c r="F51" s="25"/>
      <c r="G51" s="49"/>
      <c r="H51" s="25"/>
      <c r="I51" s="41"/>
    </row>
    <row r="52" spans="4:9" ht="12.75" x14ac:dyDescent="0.2">
      <c r="D52" s="25"/>
      <c r="F52" s="25"/>
      <c r="G52" s="49"/>
      <c r="H52" s="25"/>
      <c r="I52" s="41"/>
    </row>
  </sheetData>
  <mergeCells count="40">
    <mergeCell ref="B45:E45"/>
    <mergeCell ref="B47:J47"/>
    <mergeCell ref="B48:J48"/>
    <mergeCell ref="C38:J38"/>
    <mergeCell ref="B39:J39"/>
    <mergeCell ref="C40:I40"/>
    <mergeCell ref="C41:I41"/>
    <mergeCell ref="C42:I42"/>
    <mergeCell ref="B43:I43"/>
    <mergeCell ref="H45:J45"/>
    <mergeCell ref="C33:C36"/>
    <mergeCell ref="F33:F36"/>
    <mergeCell ref="G33:G36"/>
    <mergeCell ref="H33:H36"/>
    <mergeCell ref="I33:I36"/>
    <mergeCell ref="B30:J30"/>
    <mergeCell ref="G12:I14"/>
    <mergeCell ref="C16:J16"/>
    <mergeCell ref="B17:J17"/>
    <mergeCell ref="B19:E19"/>
    <mergeCell ref="I19:J19"/>
    <mergeCell ref="B20:J20"/>
    <mergeCell ref="C23:C24"/>
    <mergeCell ref="D23:D24"/>
    <mergeCell ref="E23:E24"/>
    <mergeCell ref="I23:I24"/>
    <mergeCell ref="C26:J26"/>
    <mergeCell ref="B27:J27"/>
    <mergeCell ref="B29:E29"/>
    <mergeCell ref="I29:J29"/>
    <mergeCell ref="C12:E14"/>
    <mergeCell ref="F12:F14"/>
    <mergeCell ref="F23:F24"/>
    <mergeCell ref="G23:G24"/>
    <mergeCell ref="H23:H24"/>
    <mergeCell ref="B1:I1"/>
    <mergeCell ref="B3:C3"/>
    <mergeCell ref="B8:E8"/>
    <mergeCell ref="I8:J8"/>
    <mergeCell ref="B9:J9"/>
  </mergeCells>
  <conditionalFormatting sqref="G12:I14">
    <cfRule type="containsText" dxfId="22" priority="2" operator="containsText" text="Warrior">
      <formula>NOT(ISERROR(SEARCH(("Warrior"),(G12))))</formula>
    </cfRule>
  </conditionalFormatting>
  <conditionalFormatting sqref="I23:I24">
    <cfRule type="expression" dxfId="21" priority="1">
      <formula>AND(AND(OR(REGEXMATCH(I23, "cat"), REGEXMATCH(I23, "Cat")), REGEXMATCH(I23, "&lt;haiku&gt;")), (LEN(I23)-LEN(SUBSTITUTE(I23,CHAR(10),""))+1)&gt;5)</formula>
    </cfRule>
  </conditionalFormatting>
  <conditionalFormatting sqref="I33:I36">
    <cfRule type="expression" dxfId="20" priority="3">
      <formula>AND(OR(REGEXMATCH(I33, "dog"), REGEXMATCH(I33, "Dog")), OR(REGEXMATCH(I33, "cat"), REGEXMATCH(I33, "Cat")), REGEXMATCH(I33, "&lt;haiku"))</formula>
    </cfRule>
    <cfRule type="expression" dxfId="19" priority="4">
      <formula>AND(REGEXMATCH(I33, "tail"), REGEXMATCH(I33, "cat"), REGEXMATCH(I33, "&lt;haiku"))</formula>
    </cfRule>
  </conditionalFormatting>
  <hyperlinks>
    <hyperlink ref="C4" location="C5Exercise1" display="Exercise 5.1 - Steph Curry GOAT" xr:uid="{00000000-0004-0000-0C00-000000000000}"/>
    <hyperlink ref="C5" location="C5Exercise2" display="Exercise 5.2 - Two Haikus" xr:uid="{00000000-0004-0000-0C00-000001000000}"/>
    <hyperlink ref="C6" location="C5Exercise3" display="Exercise 5.3 - Two Haikus, Two Animals" xr:uid="{00000000-0004-0000-0C00-000002000000}"/>
    <hyperlink ref="I8" location="C5ExerciseTitle" display="Back to top ↑" xr:uid="{00000000-0004-0000-0C00-000003000000}"/>
    <hyperlink ref="I19" location="C5ExerciseTitle" display="Back to top ↑" xr:uid="{00000000-0004-0000-0C00-000004000000}"/>
    <hyperlink ref="I29" location="C5ExerciseTitle" display="Back to top ↑" xr:uid="{00000000-0004-0000-0C00-000005000000}"/>
    <hyperlink ref="B45" location="C5LessonTitle" display="← Chapter 5: Formatting Output &amp; Speaking for Claude" xr:uid="{00000000-0004-0000-0C00-000006000000}"/>
    <hyperlink ref="H45" location="C6LessonTitle" display="Chapter 6: Precognition (Thinking Step by Step) →" xr:uid="{00000000-0004-0000-0C00-000007000000}"/>
    <hyperlink ref="B47" location="C5ExerciseTitle" display="Back to top ↑" xr:uid="{00000000-0004-0000-0C00-000008000000}"/>
    <hyperlink ref="B48" location="IntroTitle" display="Table of Contents" xr:uid="{00000000-0004-0000-0C00-000009000000}"/>
  </hyperlinks>
  <pageMargins left="0.7" right="0.7" top="0.75" bottom="0.75" header="0.3" footer="0.3"/>
  <pageSetup paperSize="9" scale="55"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D966"/>
    <outlinePr summaryBelow="0" summaryRight="0"/>
    <pageSetUpPr fitToPage="1"/>
  </sheetPr>
  <dimension ref="A1:G71"/>
  <sheetViews>
    <sheetView showGridLines="0" workbookViewId="0"/>
  </sheetViews>
  <sheetFormatPr defaultColWidth="12.5703125" defaultRowHeight="15.75" customHeight="1" x14ac:dyDescent="0.2"/>
  <cols>
    <col min="1" max="1" width="5.42578125" customWidth="1"/>
    <col min="2" max="2" width="3" customWidth="1"/>
    <col min="3" max="3" width="55.7109375" customWidth="1"/>
    <col min="4" max="4" width="4" customWidth="1"/>
    <col min="5" max="5" width="77.28515625" customWidth="1"/>
    <col min="6" max="6" width="3" customWidth="1"/>
    <col min="7" max="7" width="5.42578125" customWidth="1"/>
  </cols>
  <sheetData>
    <row r="1" spans="1:7" ht="32.25" customHeight="1" x14ac:dyDescent="0.4">
      <c r="A1" s="1"/>
      <c r="B1" s="164" t="s">
        <v>60</v>
      </c>
      <c r="C1" s="165"/>
      <c r="D1" s="165"/>
      <c r="E1" s="165"/>
      <c r="F1" s="3"/>
      <c r="G1" s="3"/>
    </row>
    <row r="2" spans="1:7" ht="21.75" customHeight="1" x14ac:dyDescent="0.2"/>
    <row r="3" spans="1:7" ht="21.75" customHeight="1" x14ac:dyDescent="0.3">
      <c r="A3" s="16"/>
      <c r="B3" s="194" t="s">
        <v>76</v>
      </c>
      <c r="C3" s="165"/>
    </row>
    <row r="4" spans="1:7" ht="15.75" customHeight="1" x14ac:dyDescent="0.2">
      <c r="A4" s="16"/>
      <c r="C4" s="40" t="s">
        <v>53</v>
      </c>
    </row>
    <row r="5" spans="1:7" ht="15.75" customHeight="1" x14ac:dyDescent="0.2">
      <c r="A5" s="16"/>
      <c r="C5" s="40" t="s">
        <v>77</v>
      </c>
    </row>
    <row r="6" spans="1:7" ht="15.75" customHeight="1" x14ac:dyDescent="0.2">
      <c r="A6" s="16" t="s">
        <v>78</v>
      </c>
      <c r="C6" s="40" t="s">
        <v>79</v>
      </c>
    </row>
    <row r="7" spans="1:7" ht="33.75" customHeight="1" x14ac:dyDescent="0.2"/>
    <row r="8" spans="1:7" ht="29.25" customHeight="1" x14ac:dyDescent="0.2">
      <c r="A8" s="41"/>
      <c r="B8" s="195" t="s">
        <v>53</v>
      </c>
      <c r="C8" s="196"/>
      <c r="D8" s="196"/>
      <c r="E8" s="197" t="s">
        <v>80</v>
      </c>
      <c r="F8" s="198"/>
      <c r="G8" s="41"/>
    </row>
    <row r="9" spans="1:7" ht="13.5" x14ac:dyDescent="0.25">
      <c r="B9" s="254" t="s">
        <v>275</v>
      </c>
      <c r="C9" s="188"/>
      <c r="D9" s="188"/>
      <c r="E9" s="188"/>
      <c r="F9" s="189"/>
    </row>
    <row r="10" spans="1:7" ht="33.75" customHeight="1" x14ac:dyDescent="0.2"/>
    <row r="11" spans="1:7" ht="29.25" customHeight="1" x14ac:dyDescent="0.2">
      <c r="B11" s="195" t="s">
        <v>77</v>
      </c>
      <c r="C11" s="196"/>
      <c r="D11" s="196"/>
      <c r="E11" s="197" t="s">
        <v>80</v>
      </c>
      <c r="F11" s="198"/>
    </row>
    <row r="12" spans="1:7" ht="12.75" x14ac:dyDescent="0.2">
      <c r="B12" s="200" t="s">
        <v>276</v>
      </c>
      <c r="C12" s="165"/>
      <c r="D12" s="165"/>
      <c r="E12" s="165"/>
      <c r="F12" s="170"/>
    </row>
    <row r="13" spans="1:7" ht="8.25" customHeight="1" x14ac:dyDescent="0.2">
      <c r="B13" s="15"/>
      <c r="F13" s="17"/>
    </row>
    <row r="14" spans="1:7" ht="12.75" x14ac:dyDescent="0.2">
      <c r="B14" s="15"/>
      <c r="C14" s="18" t="s">
        <v>90</v>
      </c>
      <c r="E14" s="18" t="s">
        <v>91</v>
      </c>
      <c r="F14" s="17"/>
    </row>
    <row r="15" spans="1:7" ht="105" customHeight="1" x14ac:dyDescent="0.2">
      <c r="B15" s="15"/>
      <c r="C15" s="54" t="s">
        <v>277</v>
      </c>
      <c r="D15" s="47" t="s">
        <v>93</v>
      </c>
      <c r="E15" s="54" t="e">
        <f ca="1">claudeMessages(C15, 'Tutorial How-To'!$E$37,"temperature",0)</f>
        <v>#NAME?</v>
      </c>
      <c r="F15" s="17"/>
    </row>
    <row r="16" spans="1:7" ht="22.5" customHeight="1" x14ac:dyDescent="0.2">
      <c r="B16" s="15"/>
      <c r="F16" s="17"/>
    </row>
    <row r="17" spans="1:7" ht="12.75" x14ac:dyDescent="0.2">
      <c r="B17" s="200" t="s">
        <v>278</v>
      </c>
      <c r="C17" s="165"/>
      <c r="D17" s="165"/>
      <c r="E17" s="165"/>
      <c r="F17" s="170"/>
    </row>
    <row r="18" spans="1:7" ht="8.25" customHeight="1" x14ac:dyDescent="0.2">
      <c r="B18" s="15"/>
      <c r="F18" s="17"/>
    </row>
    <row r="19" spans="1:7" ht="12.75" x14ac:dyDescent="0.2">
      <c r="B19" s="15"/>
      <c r="C19" s="18" t="s">
        <v>105</v>
      </c>
      <c r="E19" s="18" t="s">
        <v>91</v>
      </c>
      <c r="F19" s="17"/>
    </row>
    <row r="20" spans="1:7" ht="92.25" customHeight="1" x14ac:dyDescent="0.2">
      <c r="A20" s="49"/>
      <c r="B20" s="50"/>
      <c r="C20" s="123" t="s">
        <v>279</v>
      </c>
      <c r="D20" s="211" t="s">
        <v>93</v>
      </c>
      <c r="E20" s="245" t="e">
        <f ca="1">claudeMessages(C23, 'Tutorial How-To'!$E$37,"temperature",0, "system",$C20)</f>
        <v>#NAME?</v>
      </c>
      <c r="F20" s="53"/>
      <c r="G20" s="49"/>
    </row>
    <row r="21" spans="1:7" ht="8.25" customHeight="1" x14ac:dyDescent="0.2">
      <c r="A21" s="49"/>
      <c r="B21" s="50"/>
      <c r="D21" s="165"/>
      <c r="E21" s="206"/>
      <c r="F21" s="53"/>
      <c r="G21" s="49"/>
    </row>
    <row r="22" spans="1:7" ht="15.75" customHeight="1" x14ac:dyDescent="0.2">
      <c r="A22" s="49"/>
      <c r="B22" s="50"/>
      <c r="C22" s="18" t="s">
        <v>90</v>
      </c>
      <c r="D22" s="165"/>
      <c r="E22" s="206"/>
      <c r="F22" s="53"/>
      <c r="G22" s="49"/>
    </row>
    <row r="23" spans="1:7" ht="153" customHeight="1" x14ac:dyDescent="0.2">
      <c r="A23" s="49"/>
      <c r="B23" s="50"/>
      <c r="C23" s="46" t="s">
        <v>280</v>
      </c>
      <c r="D23" s="165"/>
      <c r="E23" s="207"/>
      <c r="F23" s="53"/>
      <c r="G23" s="49"/>
    </row>
    <row r="24" spans="1:7" ht="22.5" customHeight="1" x14ac:dyDescent="0.2">
      <c r="B24" s="15"/>
      <c r="F24" s="17"/>
    </row>
    <row r="25" spans="1:7" ht="12.75" x14ac:dyDescent="0.2">
      <c r="B25" s="200" t="s">
        <v>281</v>
      </c>
      <c r="C25" s="165"/>
      <c r="D25" s="165"/>
      <c r="E25" s="165"/>
      <c r="F25" s="170"/>
    </row>
    <row r="26" spans="1:7" ht="8.25" customHeight="1" x14ac:dyDescent="0.2">
      <c r="B26" s="15"/>
      <c r="F26" s="17"/>
    </row>
    <row r="27" spans="1:7" ht="12.75" x14ac:dyDescent="0.2">
      <c r="B27" s="15"/>
      <c r="C27" s="18" t="s">
        <v>90</v>
      </c>
      <c r="E27" s="18" t="s">
        <v>91</v>
      </c>
      <c r="F27" s="17"/>
    </row>
    <row r="28" spans="1:7" ht="99.75" customHeight="1" x14ac:dyDescent="0.2">
      <c r="B28" s="15"/>
      <c r="C28" s="205" t="s">
        <v>282</v>
      </c>
      <c r="D28" s="211" t="s">
        <v>93</v>
      </c>
      <c r="E28" s="245" t="e">
        <f ca="1">claudeMessages(C28, 'Tutorial How-To'!$E$37,"temperature",0, "system", "You are a savvy reader of movie reviews.")</f>
        <v>#NAME?</v>
      </c>
      <c r="F28" s="17"/>
    </row>
    <row r="29" spans="1:7" ht="129.75" customHeight="1" x14ac:dyDescent="0.2">
      <c r="B29" s="15"/>
      <c r="C29" s="207"/>
      <c r="D29" s="165"/>
      <c r="E29" s="207"/>
      <c r="F29" s="17"/>
    </row>
    <row r="30" spans="1:7" ht="22.5" customHeight="1" x14ac:dyDescent="0.2">
      <c r="B30" s="15"/>
      <c r="F30" s="17"/>
    </row>
    <row r="31" spans="1:7" ht="12.75" x14ac:dyDescent="0.2">
      <c r="B31" s="200" t="s">
        <v>283</v>
      </c>
      <c r="C31" s="165"/>
      <c r="D31" s="165"/>
      <c r="E31" s="165"/>
      <c r="F31" s="170"/>
    </row>
    <row r="32" spans="1:7" ht="8.25" customHeight="1" x14ac:dyDescent="0.2">
      <c r="B32" s="15"/>
      <c r="F32" s="17"/>
    </row>
    <row r="33" spans="1:7" ht="12.75" x14ac:dyDescent="0.2">
      <c r="B33" s="15"/>
      <c r="C33" s="18" t="s">
        <v>90</v>
      </c>
      <c r="E33" s="18" t="s">
        <v>91</v>
      </c>
      <c r="F33" s="17"/>
    </row>
    <row r="34" spans="1:7" ht="60.75" customHeight="1" x14ac:dyDescent="0.2">
      <c r="B34" s="15"/>
      <c r="C34" s="54" t="s">
        <v>284</v>
      </c>
      <c r="D34" s="47" t="s">
        <v>93</v>
      </c>
      <c r="E34" s="54" t="e">
        <f ca="1">claudeMessages(C34, 'Tutorial How-To'!$E$37,"temperature",0)</f>
        <v>#NAME?</v>
      </c>
      <c r="F34" s="17"/>
    </row>
    <row r="35" spans="1:7" ht="22.5" customHeight="1" x14ac:dyDescent="0.2">
      <c r="B35" s="15"/>
      <c r="F35" s="17"/>
    </row>
    <row r="36" spans="1:7" ht="22.5" customHeight="1" x14ac:dyDescent="0.2">
      <c r="B36" s="200" t="s">
        <v>285</v>
      </c>
      <c r="C36" s="165"/>
      <c r="D36" s="165"/>
      <c r="E36" s="165"/>
      <c r="F36" s="170"/>
    </row>
    <row r="37" spans="1:7" ht="8.25" customHeight="1" x14ac:dyDescent="0.2">
      <c r="B37" s="15"/>
      <c r="F37" s="17"/>
    </row>
    <row r="38" spans="1:7" ht="12.75" x14ac:dyDescent="0.2">
      <c r="B38" s="15"/>
      <c r="C38" s="18" t="s">
        <v>90</v>
      </c>
      <c r="E38" s="18" t="s">
        <v>91</v>
      </c>
      <c r="F38" s="17"/>
    </row>
    <row r="39" spans="1:7" ht="66.75" customHeight="1" x14ac:dyDescent="0.2">
      <c r="A39" s="49"/>
      <c r="B39" s="50"/>
      <c r="C39" s="205" t="s">
        <v>286</v>
      </c>
      <c r="D39" s="211" t="s">
        <v>93</v>
      </c>
      <c r="E39" s="209" t="e">
        <f ca="1">claudeMessages(C39, 'Tutorial How-To'!$E$37,"temperature",0)</f>
        <v>#NAME?</v>
      </c>
      <c r="F39" s="53"/>
      <c r="G39" s="49"/>
    </row>
    <row r="40" spans="1:7" ht="126.75" customHeight="1" x14ac:dyDescent="0.2">
      <c r="A40" s="49"/>
      <c r="B40" s="50"/>
      <c r="C40" s="207"/>
      <c r="D40" s="165"/>
      <c r="E40" s="207"/>
      <c r="F40" s="53"/>
      <c r="G40" s="49"/>
    </row>
    <row r="41" spans="1:7" ht="22.5" customHeight="1" x14ac:dyDescent="0.2">
      <c r="B41" s="15"/>
      <c r="F41" s="17"/>
    </row>
    <row r="42" spans="1:7" ht="22.5" customHeight="1" x14ac:dyDescent="0.2">
      <c r="B42" s="220" t="s">
        <v>287</v>
      </c>
      <c r="C42" s="188"/>
      <c r="D42" s="188"/>
      <c r="E42" s="188"/>
      <c r="F42" s="189"/>
    </row>
    <row r="44" spans="1:7" ht="15.75" customHeight="1" x14ac:dyDescent="0.2">
      <c r="E44" s="175" t="s">
        <v>288</v>
      </c>
      <c r="F44" s="165"/>
    </row>
    <row r="45" spans="1:7" ht="33.75" customHeight="1" x14ac:dyDescent="0.2"/>
    <row r="46" spans="1:7" ht="29.25" customHeight="1" x14ac:dyDescent="0.2">
      <c r="B46" s="195" t="s">
        <v>79</v>
      </c>
      <c r="C46" s="196"/>
      <c r="D46" s="196"/>
      <c r="E46" s="197" t="s">
        <v>80</v>
      </c>
      <c r="F46" s="198"/>
    </row>
    <row r="47" spans="1:7" ht="81.75" customHeight="1" x14ac:dyDescent="0.2">
      <c r="B47" s="200" t="s">
        <v>289</v>
      </c>
      <c r="C47" s="165"/>
      <c r="D47" s="165"/>
      <c r="E47" s="165"/>
      <c r="F47" s="170"/>
    </row>
    <row r="48" spans="1:7" ht="8.25" customHeight="1" x14ac:dyDescent="0.2">
      <c r="B48" s="15"/>
      <c r="F48" s="17"/>
    </row>
    <row r="49" spans="1:7" ht="22.5" customHeight="1" x14ac:dyDescent="0.2">
      <c r="B49" s="15"/>
      <c r="C49" s="18" t="s">
        <v>90</v>
      </c>
      <c r="E49" s="18" t="s">
        <v>91</v>
      </c>
      <c r="F49" s="17"/>
    </row>
    <row r="50" spans="1:7" ht="105" customHeight="1" x14ac:dyDescent="0.2">
      <c r="B50" s="15"/>
      <c r="C50" s="54" t="s">
        <v>277</v>
      </c>
      <c r="D50" s="47" t="s">
        <v>93</v>
      </c>
      <c r="E50" s="54" t="e">
        <f ca="1">claudeMessages(C50, 'Tutorial How-To'!$E$37,"temperature",0)</f>
        <v>#NAME?</v>
      </c>
      <c r="F50" s="17"/>
    </row>
    <row r="51" spans="1:7" ht="8.25" customHeight="1" x14ac:dyDescent="0.2">
      <c r="B51" s="204"/>
      <c r="C51" s="165"/>
      <c r="D51" s="165"/>
      <c r="E51" s="165"/>
      <c r="F51" s="170"/>
    </row>
    <row r="52" spans="1:7" ht="12.75" x14ac:dyDescent="0.2">
      <c r="B52" s="15"/>
      <c r="C52" s="18" t="s">
        <v>105</v>
      </c>
      <c r="E52" s="18" t="s">
        <v>91</v>
      </c>
      <c r="F52" s="17"/>
    </row>
    <row r="53" spans="1:7" ht="92.25" customHeight="1" x14ac:dyDescent="0.2">
      <c r="A53" s="49"/>
      <c r="B53" s="50"/>
      <c r="C53" s="123" t="s">
        <v>279</v>
      </c>
      <c r="D53" s="211" t="s">
        <v>93</v>
      </c>
      <c r="E53" s="245" t="e">
        <f ca="1">claudeMessages(C56, 'Tutorial How-To'!$E$37,"temperature",0, "system",$C53)</f>
        <v>#NAME?</v>
      </c>
      <c r="F53" s="53"/>
      <c r="G53" s="49"/>
    </row>
    <row r="54" spans="1:7" ht="8.25" customHeight="1" x14ac:dyDescent="0.2">
      <c r="A54" s="49"/>
      <c r="B54" s="50"/>
      <c r="D54" s="165"/>
      <c r="E54" s="206"/>
      <c r="F54" s="53"/>
      <c r="G54" s="49"/>
    </row>
    <row r="55" spans="1:7" ht="15.75" customHeight="1" x14ac:dyDescent="0.2">
      <c r="A55" s="49"/>
      <c r="B55" s="50"/>
      <c r="C55" s="18" t="s">
        <v>90</v>
      </c>
      <c r="D55" s="165"/>
      <c r="E55" s="206"/>
      <c r="F55" s="53"/>
      <c r="G55" s="49"/>
    </row>
    <row r="56" spans="1:7" ht="153" customHeight="1" x14ac:dyDescent="0.2">
      <c r="A56" s="49"/>
      <c r="B56" s="50"/>
      <c r="C56" s="46" t="s">
        <v>280</v>
      </c>
      <c r="D56" s="165"/>
      <c r="E56" s="207"/>
      <c r="F56" s="53"/>
      <c r="G56" s="49"/>
    </row>
    <row r="57" spans="1:7" ht="8.25" customHeight="1" x14ac:dyDescent="0.2">
      <c r="B57" s="15"/>
      <c r="F57" s="17"/>
    </row>
    <row r="58" spans="1:7" ht="12.75" x14ac:dyDescent="0.2">
      <c r="B58" s="15"/>
      <c r="C58" s="18" t="s">
        <v>90</v>
      </c>
      <c r="E58" s="18" t="s">
        <v>91</v>
      </c>
      <c r="F58" s="17"/>
    </row>
    <row r="59" spans="1:7" ht="99.75" customHeight="1" x14ac:dyDescent="0.2">
      <c r="A59" s="55"/>
      <c r="B59" s="58"/>
      <c r="C59" s="283" t="s">
        <v>282</v>
      </c>
      <c r="D59" s="217" t="s">
        <v>93</v>
      </c>
      <c r="E59" s="245" t="e">
        <f ca="1">claudeMessages(C59, 'Tutorial How-To'!$E$37,"temperature",0, "system", "You are a savvy reader of movie reviews.")</f>
        <v>#NAME?</v>
      </c>
      <c r="F59" s="55"/>
      <c r="G59" s="56"/>
    </row>
    <row r="60" spans="1:7" ht="129.75" customHeight="1" x14ac:dyDescent="0.2">
      <c r="A60" s="55"/>
      <c r="B60" s="58"/>
      <c r="C60" s="237"/>
      <c r="D60" s="218"/>
      <c r="E60" s="207"/>
      <c r="F60" s="55"/>
      <c r="G60" s="56"/>
    </row>
    <row r="61" spans="1:7" ht="8.25" customHeight="1" x14ac:dyDescent="0.2">
      <c r="B61" s="15"/>
      <c r="F61" s="17"/>
    </row>
    <row r="62" spans="1:7" ht="60.75" customHeight="1" x14ac:dyDescent="0.2">
      <c r="B62" s="15"/>
      <c r="C62" s="54" t="s">
        <v>284</v>
      </c>
      <c r="D62" s="47" t="s">
        <v>93</v>
      </c>
      <c r="E62" s="54" t="e">
        <f ca="1">claudeMessages(C62, 'Tutorial How-To'!$E$37,"temperature",0)</f>
        <v>#NAME?</v>
      </c>
      <c r="F62" s="17"/>
    </row>
    <row r="63" spans="1:7" ht="8.25" customHeight="1" x14ac:dyDescent="0.2">
      <c r="B63" s="15"/>
      <c r="F63" s="17"/>
    </row>
    <row r="64" spans="1:7" ht="66.75" customHeight="1" x14ac:dyDescent="0.2">
      <c r="A64" s="49"/>
      <c r="B64" s="50"/>
      <c r="C64" s="205" t="s">
        <v>286</v>
      </c>
      <c r="D64" s="211" t="s">
        <v>93</v>
      </c>
      <c r="E64" s="209" t="e">
        <f ca="1">claudeMessages(C64, 'Tutorial How-To'!$E$37,"temperature",0)</f>
        <v>#NAME?</v>
      </c>
      <c r="F64" s="53"/>
      <c r="G64" s="49"/>
    </row>
    <row r="65" spans="1:7" ht="126.75" customHeight="1" x14ac:dyDescent="0.2">
      <c r="A65" s="49"/>
      <c r="B65" s="50"/>
      <c r="C65" s="207"/>
      <c r="D65" s="165"/>
      <c r="E65" s="207"/>
      <c r="F65" s="53"/>
      <c r="G65" s="49"/>
    </row>
    <row r="66" spans="1:7" ht="15.75" customHeight="1" x14ac:dyDescent="0.2">
      <c r="B66" s="61"/>
      <c r="C66" s="38"/>
      <c r="D66" s="38"/>
      <c r="E66" s="38"/>
      <c r="F66" s="39"/>
    </row>
    <row r="68" spans="1:7" ht="14.25" x14ac:dyDescent="0.2">
      <c r="B68" s="221" t="s">
        <v>290</v>
      </c>
      <c r="C68" s="165"/>
      <c r="D68" s="165"/>
      <c r="E68" s="175" t="s">
        <v>288</v>
      </c>
      <c r="F68" s="165"/>
    </row>
    <row r="69" spans="1:7" ht="8.25" customHeight="1" x14ac:dyDescent="0.2"/>
    <row r="70" spans="1:7" ht="14.25" x14ac:dyDescent="0.2">
      <c r="B70" s="222" t="s">
        <v>80</v>
      </c>
      <c r="C70" s="165"/>
      <c r="D70" s="165"/>
      <c r="E70" s="165"/>
      <c r="F70" s="165"/>
    </row>
    <row r="71" spans="1:7" ht="14.25" x14ac:dyDescent="0.2">
      <c r="B71" s="222" t="s">
        <v>113</v>
      </c>
      <c r="C71" s="165"/>
      <c r="D71" s="165"/>
      <c r="E71" s="165"/>
      <c r="F71" s="165"/>
    </row>
  </sheetData>
  <mergeCells count="38">
    <mergeCell ref="D53:D56"/>
    <mergeCell ref="E53:E56"/>
    <mergeCell ref="B68:D68"/>
    <mergeCell ref="B70:F70"/>
    <mergeCell ref="B71:F71"/>
    <mergeCell ref="C59:C60"/>
    <mergeCell ref="D59:D60"/>
    <mergeCell ref="E59:E60"/>
    <mergeCell ref="C64:C65"/>
    <mergeCell ref="D64:D65"/>
    <mergeCell ref="E64:E65"/>
    <mergeCell ref="E68:F68"/>
    <mergeCell ref="E44:F44"/>
    <mergeCell ref="B46:D46"/>
    <mergeCell ref="E46:F46"/>
    <mergeCell ref="B47:F47"/>
    <mergeCell ref="B51:F51"/>
    <mergeCell ref="B36:F36"/>
    <mergeCell ref="C39:C40"/>
    <mergeCell ref="D39:D40"/>
    <mergeCell ref="E39:E40"/>
    <mergeCell ref="B42:F42"/>
    <mergeCell ref="B25:F25"/>
    <mergeCell ref="C28:C29"/>
    <mergeCell ref="D28:D29"/>
    <mergeCell ref="E28:E29"/>
    <mergeCell ref="B31:F31"/>
    <mergeCell ref="B11:D11"/>
    <mergeCell ref="E11:F11"/>
    <mergeCell ref="B12:F12"/>
    <mergeCell ref="B17:F17"/>
    <mergeCell ref="D20:D23"/>
    <mergeCell ref="E20:E23"/>
    <mergeCell ref="B1:E1"/>
    <mergeCell ref="B3:C3"/>
    <mergeCell ref="B8:D8"/>
    <mergeCell ref="E8:F8"/>
    <mergeCell ref="B9:F9"/>
  </mergeCells>
  <hyperlinks>
    <hyperlink ref="C4" location="C6Lesson" display="Lesson" xr:uid="{00000000-0004-0000-0D00-000000000000}"/>
    <hyperlink ref="C5" location="C6Examples" display="Examples" xr:uid="{00000000-0004-0000-0D00-000001000000}"/>
    <hyperlink ref="C6" location="C6ExamplePlayground" display="Example Playground" xr:uid="{00000000-0004-0000-0D00-000002000000}"/>
    <hyperlink ref="E8" location="C6LessonTitle" display="Back to top ↑" xr:uid="{00000000-0004-0000-0D00-000003000000}"/>
    <hyperlink ref="E11" location="C6LessonTitle" display="Back to top ↑" xr:uid="{00000000-0004-0000-0D00-000004000000}"/>
    <hyperlink ref="E44" location="C6ExerciseTitle" display="Chapter 6 Exercises: Precognition (Thinking Step by Step) →" xr:uid="{00000000-0004-0000-0D00-000005000000}"/>
    <hyperlink ref="E46" location="C6LessonTitle" display="Back to top ↑" xr:uid="{00000000-0004-0000-0D00-000006000000}"/>
    <hyperlink ref="B68" location="C5ExerciseTitle" display="← Chapter 5 Exercises: Formatting Output &amp; Speaking for Claude" xr:uid="{00000000-0004-0000-0D00-000007000000}"/>
    <hyperlink ref="E68" location="C6ExerciseTitle" display="Chapter 6 Exercises: Precognition (Thinking Step by Step) →" xr:uid="{00000000-0004-0000-0D00-000008000000}"/>
    <hyperlink ref="B70" location="C6LessonTitle" display="Back to top ↑" xr:uid="{00000000-0004-0000-0D00-000009000000}"/>
    <hyperlink ref="B71" location="IntroTitle" display="Table of Contents" xr:uid="{00000000-0004-0000-0D00-00000A000000}"/>
  </hyperlinks>
  <pageMargins left="0.7" right="0.7" top="0.75" bottom="0.75" header="0.3" footer="0.3"/>
  <pageSetup paperSize="9" scale="58" fitToHeight="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D966"/>
    <outlinePr summaryBelow="0" summaryRight="0"/>
    <pageSetUpPr fitToPage="1"/>
  </sheetPr>
  <dimension ref="A1:M79"/>
  <sheetViews>
    <sheetView showGridLines="0" workbookViewId="0"/>
  </sheetViews>
  <sheetFormatPr defaultColWidth="12.5703125" defaultRowHeight="15.75" customHeight="1" outlineLevelRow="2" x14ac:dyDescent="0.2"/>
  <cols>
    <col min="1" max="1" width="5.42578125" customWidth="1"/>
    <col min="2" max="2" width="3" customWidth="1"/>
    <col min="3" max="3" width="26.85546875" customWidth="1"/>
    <col min="4" max="4" width="4" customWidth="1"/>
    <col min="5" max="5" width="26.5703125" customWidth="1"/>
    <col min="6" max="6" width="4" customWidth="1"/>
    <col min="7" max="7" width="33.5703125" customWidth="1"/>
    <col min="8" max="8" width="4" customWidth="1"/>
    <col min="9" max="9" width="36.42578125" customWidth="1"/>
    <col min="10" max="10" width="4" customWidth="1"/>
    <col min="11" max="11" width="19.42578125" customWidth="1"/>
    <col min="12" max="12" width="3" customWidth="1"/>
    <col min="13" max="13" width="5.42578125" customWidth="1"/>
  </cols>
  <sheetData>
    <row r="1" spans="1:13" ht="32.25" customHeight="1" x14ac:dyDescent="0.4">
      <c r="A1" s="1"/>
      <c r="B1" s="164" t="s">
        <v>291</v>
      </c>
      <c r="C1" s="165"/>
      <c r="D1" s="165"/>
      <c r="E1" s="165"/>
      <c r="F1" s="165"/>
      <c r="G1" s="165"/>
      <c r="H1" s="165"/>
      <c r="I1" s="165"/>
      <c r="J1" s="2"/>
      <c r="K1" s="2"/>
      <c r="L1" s="3"/>
      <c r="M1" s="3"/>
    </row>
    <row r="2" spans="1:13" ht="21.75" customHeight="1" x14ac:dyDescent="0.2">
      <c r="D2" s="25"/>
      <c r="F2" s="25"/>
      <c r="G2" s="49"/>
      <c r="H2" s="25"/>
      <c r="I2" s="41"/>
      <c r="J2" s="41"/>
      <c r="K2" s="41"/>
    </row>
    <row r="3" spans="1:13" ht="21.75" customHeight="1" x14ac:dyDescent="0.3">
      <c r="A3" s="16"/>
      <c r="B3" s="194" t="s">
        <v>76</v>
      </c>
      <c r="C3" s="165"/>
      <c r="D3" s="25"/>
      <c r="F3" s="25"/>
      <c r="G3" s="16"/>
      <c r="H3" s="97"/>
    </row>
    <row r="4" spans="1:13" ht="15.75" customHeight="1" x14ac:dyDescent="0.2">
      <c r="A4" s="16"/>
      <c r="C4" s="40" t="s">
        <v>292</v>
      </c>
      <c r="D4" s="25"/>
      <c r="F4" s="25"/>
      <c r="G4" s="16"/>
      <c r="H4" s="25"/>
      <c r="I4" s="20"/>
      <c r="J4" s="20"/>
      <c r="K4" s="20"/>
    </row>
    <row r="5" spans="1:13" ht="15.75" customHeight="1" x14ac:dyDescent="0.2">
      <c r="A5" s="16"/>
      <c r="C5" s="40" t="s">
        <v>293</v>
      </c>
      <c r="D5" s="25"/>
      <c r="F5" s="25"/>
      <c r="G5" s="16"/>
      <c r="H5" s="25"/>
      <c r="I5" s="20"/>
      <c r="J5" s="20"/>
      <c r="K5" s="20"/>
    </row>
    <row r="6" spans="1:13" ht="33.75" customHeight="1" x14ac:dyDescent="0.2">
      <c r="D6" s="25"/>
      <c r="F6" s="25"/>
      <c r="H6" s="25"/>
    </row>
    <row r="7" spans="1:13" ht="29.25" customHeight="1" x14ac:dyDescent="0.2">
      <c r="B7" s="195" t="s">
        <v>292</v>
      </c>
      <c r="C7" s="196"/>
      <c r="D7" s="196"/>
      <c r="E7" s="196"/>
      <c r="F7" s="98"/>
      <c r="G7" s="99"/>
      <c r="H7" s="98"/>
      <c r="I7" s="197" t="s">
        <v>80</v>
      </c>
      <c r="J7" s="196"/>
      <c r="K7" s="196"/>
      <c r="L7" s="198"/>
    </row>
    <row r="8" spans="1:13" ht="12.75" x14ac:dyDescent="0.2">
      <c r="B8" s="200" t="s">
        <v>294</v>
      </c>
      <c r="C8" s="165"/>
      <c r="D8" s="165"/>
      <c r="E8" s="165"/>
      <c r="F8" s="165"/>
      <c r="G8" s="165"/>
      <c r="H8" s="165"/>
      <c r="I8" s="165"/>
      <c r="J8" s="165"/>
      <c r="K8" s="165"/>
      <c r="L8" s="170"/>
    </row>
    <row r="9" spans="1:13" ht="71.25" x14ac:dyDescent="0.2">
      <c r="B9" s="42"/>
      <c r="C9" s="44" t="s">
        <v>295</v>
      </c>
      <c r="D9" s="124"/>
      <c r="E9" s="124"/>
      <c r="F9" s="124"/>
      <c r="G9" s="124"/>
      <c r="H9" s="124"/>
      <c r="I9" s="124"/>
      <c r="J9" s="124"/>
      <c r="K9" s="124"/>
      <c r="L9" s="125"/>
    </row>
    <row r="10" spans="1:13" ht="11.25" customHeight="1" x14ac:dyDescent="0.2">
      <c r="B10" s="15"/>
      <c r="D10" s="25"/>
      <c r="F10" s="25"/>
      <c r="G10" s="49"/>
      <c r="H10" s="25"/>
      <c r="I10" s="41"/>
      <c r="J10" s="41"/>
      <c r="K10" s="41"/>
      <c r="L10" s="17"/>
    </row>
    <row r="11" spans="1:13" ht="12.75" x14ac:dyDescent="0.2">
      <c r="B11" s="284" t="s">
        <v>296</v>
      </c>
      <c r="C11" s="165"/>
      <c r="D11" s="165"/>
      <c r="E11" s="165"/>
      <c r="F11" s="165"/>
      <c r="G11" s="165"/>
      <c r="H11" s="165"/>
      <c r="I11" s="165"/>
      <c r="J11" s="165"/>
      <c r="K11" s="165"/>
      <c r="L11" s="170"/>
    </row>
    <row r="12" spans="1:13" ht="11.25" customHeight="1" x14ac:dyDescent="0.2">
      <c r="B12" s="15"/>
      <c r="D12" s="25"/>
      <c r="F12" s="25"/>
      <c r="G12" s="49"/>
      <c r="H12" s="25"/>
      <c r="I12" s="41"/>
      <c r="J12" s="41"/>
      <c r="K12" s="41"/>
      <c r="L12" s="17"/>
    </row>
    <row r="13" spans="1:13" ht="13.5" x14ac:dyDescent="0.25">
      <c r="B13" s="200" t="s">
        <v>297</v>
      </c>
      <c r="C13" s="165"/>
      <c r="D13" s="165"/>
      <c r="E13" s="165"/>
      <c r="F13" s="165"/>
      <c r="G13" s="165"/>
      <c r="H13" s="165"/>
      <c r="I13" s="165"/>
      <c r="J13" s="165"/>
      <c r="K13" s="165"/>
      <c r="L13" s="170"/>
    </row>
    <row r="14" spans="1:13" ht="8.25" customHeight="1" x14ac:dyDescent="0.2">
      <c r="B14" s="15"/>
      <c r="D14" s="25"/>
      <c r="F14" s="25"/>
      <c r="G14" s="49"/>
      <c r="H14" s="25"/>
      <c r="I14" s="41"/>
      <c r="J14" s="41"/>
      <c r="K14" s="41"/>
      <c r="L14" s="17"/>
    </row>
    <row r="15" spans="1:13" ht="15" x14ac:dyDescent="0.25">
      <c r="A15" s="20"/>
      <c r="B15" s="19"/>
      <c r="C15" s="100" t="s">
        <v>184</v>
      </c>
      <c r="D15" s="101"/>
      <c r="E15" s="100" t="s">
        <v>298</v>
      </c>
      <c r="F15" s="101"/>
      <c r="G15" s="102" t="s">
        <v>186</v>
      </c>
      <c r="H15" s="101"/>
      <c r="I15" s="103" t="s">
        <v>91</v>
      </c>
      <c r="J15" s="103"/>
      <c r="K15" s="103" t="s">
        <v>299</v>
      </c>
      <c r="L15" s="21"/>
      <c r="M15" s="20"/>
    </row>
    <row r="16" spans="1:13" ht="43.5" customHeight="1" x14ac:dyDescent="0.2">
      <c r="B16" s="15"/>
      <c r="C16" s="266" t="s">
        <v>300</v>
      </c>
      <c r="D16" s="279" t="s">
        <v>188</v>
      </c>
      <c r="E16" s="280" t="s">
        <v>301</v>
      </c>
      <c r="F16" s="267" t="s">
        <v>190</v>
      </c>
      <c r="G16" s="205" t="str">
        <f>SUBSTITUTE($C$16,"{{EMAIL}}",E16)</f>
        <v>User: Please classify this email as either green or blue: Hi -- My Mixmaster4000 is producing a strange noise when I operate it. It also smells a bit smoky and plasticky, like burning electronics.  I need a replacement.</v>
      </c>
      <c r="H16" s="208" t="s">
        <v>93</v>
      </c>
      <c r="I16" s="287" t="e">
        <f ca="1">claudeMessages(G16,'Tutorial How-To'!$E$37,"temperature",0)</f>
        <v>#NAME?</v>
      </c>
      <c r="J16" s="109"/>
      <c r="K16" s="285" t="s">
        <v>302</v>
      </c>
      <c r="L16" s="17"/>
    </row>
    <row r="17" spans="2:12" ht="43.5" customHeight="1" x14ac:dyDescent="0.2">
      <c r="B17" s="15"/>
      <c r="C17" s="252"/>
      <c r="D17" s="165"/>
      <c r="E17" s="207"/>
      <c r="F17" s="165"/>
      <c r="G17" s="207"/>
      <c r="H17" s="165"/>
      <c r="I17" s="207"/>
      <c r="J17" s="109"/>
      <c r="K17" s="165"/>
      <c r="L17" s="17"/>
    </row>
    <row r="18" spans="2:12" ht="8.25" customHeight="1" x14ac:dyDescent="0.2">
      <c r="B18" s="15"/>
      <c r="C18" s="252"/>
      <c r="D18" s="25"/>
      <c r="F18" s="25"/>
      <c r="G18" s="49"/>
      <c r="H18" s="25"/>
      <c r="I18" s="41"/>
      <c r="J18" s="41"/>
      <c r="K18" s="41"/>
      <c r="L18" s="17"/>
    </row>
    <row r="19" spans="2:12" ht="43.5" customHeight="1" x14ac:dyDescent="0.2">
      <c r="B19" s="15"/>
      <c r="C19" s="252"/>
      <c r="D19" s="279" t="s">
        <v>188</v>
      </c>
      <c r="E19" s="280" t="s">
        <v>303</v>
      </c>
      <c r="F19" s="267" t="s">
        <v>190</v>
      </c>
      <c r="G19" s="205" t="str">
        <f>SUBSTITUTE($C$16,"{{EMAIL}}",E19)</f>
        <v>User: Please classify this email as either green or blue: Can I use my Mixmaster 4000 to mix paint, or is it only meant for mixing food?</v>
      </c>
      <c r="H19" s="208" t="s">
        <v>93</v>
      </c>
      <c r="I19" s="287" t="e">
        <f ca="1">claudeMessages(G19,'Tutorial How-To'!$E$37,"temperature",0)</f>
        <v>#NAME?</v>
      </c>
      <c r="J19" s="109"/>
      <c r="K19" s="286" t="s">
        <v>304</v>
      </c>
      <c r="L19" s="17"/>
    </row>
    <row r="20" spans="2:12" ht="43.5" customHeight="1" x14ac:dyDescent="0.2">
      <c r="B20" s="15"/>
      <c r="C20" s="252"/>
      <c r="D20" s="165"/>
      <c r="E20" s="207"/>
      <c r="F20" s="165"/>
      <c r="G20" s="207"/>
      <c r="H20" s="165"/>
      <c r="I20" s="207"/>
      <c r="J20" s="109"/>
      <c r="K20" s="165"/>
      <c r="L20" s="17"/>
    </row>
    <row r="21" spans="2:12" ht="8.25" customHeight="1" x14ac:dyDescent="0.2">
      <c r="B21" s="15"/>
      <c r="C21" s="252"/>
      <c r="D21" s="25"/>
      <c r="F21" s="25"/>
      <c r="G21" s="49"/>
      <c r="H21" s="25"/>
      <c r="I21" s="41"/>
      <c r="J21" s="41"/>
      <c r="K21" s="41"/>
      <c r="L21" s="17"/>
    </row>
    <row r="22" spans="2:12" ht="43.5" customHeight="1" x14ac:dyDescent="0.2">
      <c r="B22" s="15"/>
      <c r="C22" s="252"/>
      <c r="D22" s="279" t="s">
        <v>188</v>
      </c>
      <c r="E22" s="280" t="s">
        <v>305</v>
      </c>
      <c r="F22" s="267" t="s">
        <v>190</v>
      </c>
      <c r="G22" s="205" t="str">
        <f>SUBSTITUTE($C$16,"{{EMAIL}}",E22)</f>
        <v>User: Please classify this email as either green or blue: I HAVE BEEN WAITING 4 MONTHS FOR MY MONTHLY CHARGES TO END AFTER CANCELLING!!  WTF IS GOING ON???</v>
      </c>
      <c r="H22" s="208" t="s">
        <v>93</v>
      </c>
      <c r="I22" s="287" t="e">
        <f ca="1">claudeMessages(G22,'Tutorial How-To'!$E$37,"temperature",0)</f>
        <v>#NAME?</v>
      </c>
      <c r="J22" s="109"/>
      <c r="K22" s="285" t="s">
        <v>306</v>
      </c>
      <c r="L22" s="17"/>
    </row>
    <row r="23" spans="2:12" ht="43.5" customHeight="1" x14ac:dyDescent="0.2">
      <c r="B23" s="15"/>
      <c r="C23" s="252"/>
      <c r="D23" s="165"/>
      <c r="E23" s="207"/>
      <c r="F23" s="165"/>
      <c r="G23" s="207"/>
      <c r="H23" s="165"/>
      <c r="I23" s="207"/>
      <c r="J23" s="109"/>
      <c r="K23" s="165"/>
      <c r="L23" s="17"/>
    </row>
    <row r="24" spans="2:12" ht="8.25" customHeight="1" x14ac:dyDescent="0.2">
      <c r="B24" s="15"/>
      <c r="C24" s="252"/>
      <c r="D24" s="25"/>
      <c r="F24" s="25"/>
      <c r="G24" s="49"/>
      <c r="H24" s="25"/>
      <c r="I24" s="41"/>
      <c r="J24" s="41"/>
      <c r="K24" s="41"/>
      <c r="L24" s="17"/>
    </row>
    <row r="25" spans="2:12" ht="43.5" customHeight="1" x14ac:dyDescent="0.2">
      <c r="B25" s="15"/>
      <c r="C25" s="252"/>
      <c r="D25" s="279" t="s">
        <v>188</v>
      </c>
      <c r="E25" s="280" t="s">
        <v>307</v>
      </c>
      <c r="F25" s="267" t="s">
        <v>190</v>
      </c>
      <c r="G25" s="205" t="str">
        <f>SUBSTITUTE($C$16,"{{EMAIL}}",E25)</f>
        <v>User: Please classify this email as either green or blue: How did I get here I am not good with computer.  Halp.</v>
      </c>
      <c r="H25" s="208" t="s">
        <v>93</v>
      </c>
      <c r="I25" s="287" t="e">
        <f ca="1">claudeMessages(G25,'Tutorial How-To'!$E$37,"temperature",0)</f>
        <v>#NAME?</v>
      </c>
      <c r="J25" s="109"/>
      <c r="K25" s="285" t="s">
        <v>308</v>
      </c>
      <c r="L25" s="17"/>
    </row>
    <row r="26" spans="2:12" ht="43.5" customHeight="1" x14ac:dyDescent="0.2">
      <c r="B26" s="15"/>
      <c r="C26" s="253"/>
      <c r="D26" s="165"/>
      <c r="E26" s="207"/>
      <c r="F26" s="165"/>
      <c r="G26" s="207"/>
      <c r="H26" s="165"/>
      <c r="I26" s="207"/>
      <c r="J26" s="109"/>
      <c r="K26" s="165"/>
      <c r="L26" s="17"/>
    </row>
    <row r="27" spans="2:12" ht="15.75" customHeight="1" x14ac:dyDescent="0.2">
      <c r="B27" s="15"/>
      <c r="C27" s="108"/>
      <c r="D27" s="47"/>
      <c r="E27" s="109"/>
      <c r="F27" s="25"/>
      <c r="G27" s="109"/>
      <c r="H27" s="25"/>
      <c r="I27" s="109"/>
      <c r="J27" s="109"/>
      <c r="K27" s="109"/>
      <c r="L27" s="17"/>
    </row>
    <row r="28" spans="2:12" ht="12.75" x14ac:dyDescent="0.2">
      <c r="B28" s="293" t="s">
        <v>309</v>
      </c>
      <c r="C28" s="165"/>
      <c r="D28" s="165"/>
      <c r="E28" s="165"/>
      <c r="F28" s="165"/>
      <c r="G28" s="165"/>
      <c r="H28" s="165"/>
      <c r="I28" s="165"/>
      <c r="J28" s="165"/>
      <c r="K28" s="165"/>
      <c r="L28" s="170"/>
    </row>
    <row r="29" spans="2:12" ht="11.25" customHeight="1" x14ac:dyDescent="0.2">
      <c r="B29" s="15"/>
      <c r="C29" s="108"/>
      <c r="D29" s="47"/>
      <c r="E29" s="109"/>
      <c r="F29" s="25"/>
      <c r="G29" s="109"/>
      <c r="H29" s="25"/>
      <c r="I29" s="109"/>
      <c r="J29" s="109"/>
      <c r="K29" s="109"/>
      <c r="L29" s="17"/>
    </row>
    <row r="30" spans="2:12" ht="14.25" x14ac:dyDescent="0.2">
      <c r="B30" s="65" t="s">
        <v>120</v>
      </c>
      <c r="C30" s="224" t="s">
        <v>121</v>
      </c>
      <c r="D30" s="165"/>
      <c r="E30" s="165"/>
      <c r="F30" s="165"/>
      <c r="G30" s="165"/>
      <c r="H30" s="165"/>
      <c r="I30" s="165"/>
      <c r="J30" s="165"/>
      <c r="K30" s="165"/>
      <c r="L30" s="170"/>
    </row>
    <row r="31" spans="2:12" ht="19.5" customHeight="1" outlineLevel="1" x14ac:dyDescent="0.2">
      <c r="B31" s="281" t="s">
        <v>310</v>
      </c>
      <c r="C31" s="165"/>
      <c r="D31" s="165"/>
      <c r="E31" s="165"/>
      <c r="F31" s="165"/>
      <c r="G31" s="165"/>
      <c r="H31" s="165"/>
      <c r="I31" s="165"/>
      <c r="J31" s="165"/>
      <c r="K31" s="165"/>
      <c r="L31" s="170"/>
    </row>
    <row r="32" spans="2:12" ht="35.25" customHeight="1" outlineLevel="1" x14ac:dyDescent="0.2">
      <c r="B32" s="121" t="s">
        <v>266</v>
      </c>
      <c r="C32" s="282" t="s">
        <v>311</v>
      </c>
      <c r="D32" s="165"/>
      <c r="E32" s="165"/>
      <c r="F32" s="165"/>
      <c r="G32" s="165"/>
      <c r="H32" s="165"/>
      <c r="I32" s="165"/>
      <c r="J32" s="165"/>
      <c r="K32" s="165"/>
      <c r="L32" s="170"/>
    </row>
    <row r="33" spans="2:12" ht="61.5" customHeight="1" outlineLevel="1" x14ac:dyDescent="0.2">
      <c r="B33" s="121" t="s">
        <v>268</v>
      </c>
      <c r="C33" s="282" t="s">
        <v>312</v>
      </c>
      <c r="D33" s="165"/>
      <c r="E33" s="165"/>
      <c r="F33" s="165"/>
      <c r="G33" s="165"/>
      <c r="H33" s="165"/>
      <c r="I33" s="165"/>
      <c r="J33" s="165"/>
      <c r="K33" s="165"/>
      <c r="L33" s="170"/>
    </row>
    <row r="34" spans="2:12" ht="20.25" customHeight="1" outlineLevel="1" x14ac:dyDescent="0.2">
      <c r="B34" s="121" t="s">
        <v>270</v>
      </c>
      <c r="C34" s="294" t="s">
        <v>313</v>
      </c>
      <c r="D34" s="165"/>
      <c r="E34" s="165"/>
      <c r="F34" s="165"/>
      <c r="G34" s="165"/>
      <c r="H34" s="165"/>
      <c r="I34" s="165"/>
      <c r="J34" s="165"/>
      <c r="K34" s="165"/>
      <c r="L34" s="170"/>
    </row>
    <row r="35" spans="2:12" ht="20.25" customHeight="1" outlineLevel="1" x14ac:dyDescent="0.2">
      <c r="B35" s="121" t="s">
        <v>314</v>
      </c>
      <c r="C35" s="282" t="s">
        <v>315</v>
      </c>
      <c r="D35" s="165"/>
      <c r="E35" s="165"/>
      <c r="F35" s="165"/>
      <c r="G35" s="165"/>
      <c r="H35" s="165"/>
      <c r="I35" s="165"/>
      <c r="J35" s="165"/>
      <c r="K35" s="165"/>
      <c r="L35" s="170"/>
    </row>
    <row r="36" spans="2:12" ht="20.25" customHeight="1" outlineLevel="1" x14ac:dyDescent="0.2">
      <c r="B36" s="264" t="s">
        <v>316</v>
      </c>
      <c r="C36" s="165"/>
      <c r="D36" s="165"/>
      <c r="E36" s="165"/>
      <c r="F36" s="165"/>
      <c r="G36" s="165"/>
      <c r="H36" s="165"/>
      <c r="I36" s="165"/>
      <c r="J36" s="165"/>
      <c r="K36" s="165"/>
      <c r="L36" s="170"/>
    </row>
    <row r="37" spans="2:12" ht="14.25" outlineLevel="1" x14ac:dyDescent="0.2">
      <c r="B37" s="126"/>
      <c r="C37" s="295"/>
      <c r="D37" s="165"/>
      <c r="E37" s="165"/>
      <c r="F37" s="165"/>
      <c r="G37" s="165"/>
      <c r="H37" s="165"/>
      <c r="I37" s="165"/>
      <c r="J37" s="165"/>
      <c r="K37" s="165"/>
      <c r="L37" s="170"/>
    </row>
    <row r="38" spans="2:12" ht="28.5" outlineLevel="1" collapsed="1" x14ac:dyDescent="0.2">
      <c r="B38" s="43" t="s">
        <v>317</v>
      </c>
      <c r="C38" s="296" t="s">
        <v>318</v>
      </c>
      <c r="D38" s="165"/>
      <c r="E38" s="165"/>
      <c r="F38" s="165"/>
      <c r="G38" s="165"/>
      <c r="H38" s="165"/>
      <c r="I38" s="165"/>
      <c r="J38" s="165"/>
      <c r="K38" s="165"/>
      <c r="L38" s="170"/>
    </row>
    <row r="39" spans="2:12" ht="12.75" hidden="1" outlineLevel="2" x14ac:dyDescent="0.2">
      <c r="B39" s="281" t="s">
        <v>319</v>
      </c>
      <c r="C39" s="165"/>
      <c r="D39" s="165"/>
      <c r="E39" s="165"/>
      <c r="F39" s="165"/>
      <c r="G39" s="165"/>
      <c r="H39" s="165"/>
      <c r="I39" s="165"/>
      <c r="J39" s="165"/>
      <c r="K39" s="165"/>
      <c r="L39" s="170"/>
    </row>
    <row r="40" spans="2:12" ht="14.25" hidden="1" outlineLevel="2" x14ac:dyDescent="0.2">
      <c r="B40" s="126"/>
      <c r="C40" s="108"/>
      <c r="D40" s="108"/>
      <c r="E40" s="108"/>
      <c r="F40" s="108"/>
      <c r="G40" s="108"/>
      <c r="H40" s="108"/>
      <c r="I40" s="108"/>
      <c r="J40" s="108"/>
      <c r="K40" s="108"/>
      <c r="L40" s="127"/>
    </row>
    <row r="41" spans="2:12" ht="15" hidden="1" outlineLevel="2" x14ac:dyDescent="0.25">
      <c r="B41" s="126"/>
      <c r="C41" s="297" t="s">
        <v>320</v>
      </c>
      <c r="D41" s="165"/>
      <c r="E41" s="165"/>
      <c r="F41" s="108"/>
      <c r="H41" s="100"/>
      <c r="I41" s="100" t="s">
        <v>321</v>
      </c>
      <c r="J41" s="108"/>
      <c r="K41" s="108"/>
      <c r="L41" s="127"/>
    </row>
    <row r="42" spans="2:12" ht="14.25" hidden="1" outlineLevel="2" x14ac:dyDescent="0.2">
      <c r="B42" s="126"/>
      <c r="C42" s="269" t="s">
        <v>322</v>
      </c>
      <c r="D42" s="270"/>
      <c r="E42" s="270"/>
      <c r="F42" s="270"/>
      <c r="G42" s="271"/>
      <c r="H42" s="128"/>
      <c r="I42" s="129" t="s">
        <v>323</v>
      </c>
      <c r="J42" s="108"/>
      <c r="K42" s="108"/>
      <c r="L42" s="127"/>
    </row>
    <row r="43" spans="2:12" ht="14.25" hidden="1" outlineLevel="2" x14ac:dyDescent="0.2">
      <c r="B43" s="126"/>
      <c r="C43" s="272"/>
      <c r="D43" s="165"/>
      <c r="E43" s="165"/>
      <c r="F43" s="165"/>
      <c r="G43" s="273"/>
      <c r="H43" s="128"/>
      <c r="I43" s="130" t="s">
        <v>324</v>
      </c>
      <c r="J43" s="108"/>
      <c r="K43" s="108"/>
      <c r="L43" s="127"/>
    </row>
    <row r="44" spans="2:12" ht="14.25" hidden="1" outlineLevel="2" x14ac:dyDescent="0.2">
      <c r="B44" s="126"/>
      <c r="C44" s="272"/>
      <c r="D44" s="165"/>
      <c r="E44" s="165"/>
      <c r="F44" s="165"/>
      <c r="G44" s="273"/>
      <c r="H44" s="128"/>
      <c r="I44" s="131" t="s">
        <v>325</v>
      </c>
      <c r="J44" s="108"/>
      <c r="K44" s="108"/>
      <c r="L44" s="127"/>
    </row>
    <row r="45" spans="2:12" ht="64.5" hidden="1" customHeight="1" outlineLevel="2" x14ac:dyDescent="0.2">
      <c r="B45" s="126"/>
      <c r="C45" s="272"/>
      <c r="D45" s="165"/>
      <c r="E45" s="165"/>
      <c r="F45" s="165"/>
      <c r="G45" s="273"/>
      <c r="H45" s="128"/>
      <c r="J45" s="108"/>
      <c r="K45" s="108"/>
      <c r="L45" s="127"/>
    </row>
    <row r="46" spans="2:12" ht="64.5" hidden="1" customHeight="1" outlineLevel="2" x14ac:dyDescent="0.2">
      <c r="B46" s="126"/>
      <c r="C46" s="274"/>
      <c r="D46" s="275"/>
      <c r="E46" s="275"/>
      <c r="F46" s="275"/>
      <c r="G46" s="276"/>
      <c r="H46" s="128"/>
      <c r="I46" s="131"/>
      <c r="J46" s="108"/>
      <c r="K46" s="108"/>
      <c r="L46" s="127"/>
    </row>
    <row r="47" spans="2:12" ht="14.25" hidden="1" outlineLevel="2" x14ac:dyDescent="0.2">
      <c r="B47" s="126"/>
      <c r="C47" s="108"/>
      <c r="D47" s="108"/>
      <c r="E47" s="108"/>
      <c r="F47" s="108"/>
      <c r="G47" s="108"/>
      <c r="H47" s="108"/>
      <c r="I47" s="108"/>
      <c r="J47" s="108"/>
      <c r="K47" s="108"/>
      <c r="L47" s="127"/>
    </row>
    <row r="48" spans="2:12" ht="33.75" customHeight="1" x14ac:dyDescent="0.2">
      <c r="B48" s="6"/>
      <c r="C48" s="6"/>
      <c r="D48" s="98"/>
      <c r="E48" s="6"/>
      <c r="F48" s="98"/>
      <c r="G48" s="99"/>
      <c r="H48" s="98"/>
      <c r="I48" s="110"/>
      <c r="J48" s="110"/>
      <c r="K48" s="110"/>
      <c r="L48" s="6"/>
    </row>
    <row r="49" spans="1:13" ht="29.25" customHeight="1" x14ac:dyDescent="0.2">
      <c r="B49" s="195" t="s">
        <v>293</v>
      </c>
      <c r="C49" s="196"/>
      <c r="D49" s="196"/>
      <c r="E49" s="196"/>
      <c r="F49" s="98"/>
      <c r="G49" s="99"/>
      <c r="H49" s="98"/>
      <c r="I49" s="197" t="s">
        <v>80</v>
      </c>
      <c r="J49" s="196"/>
      <c r="K49" s="196"/>
      <c r="L49" s="198"/>
    </row>
    <row r="50" spans="1:13" ht="12.75" x14ac:dyDescent="0.2">
      <c r="B50" s="200" t="s">
        <v>326</v>
      </c>
      <c r="C50" s="165"/>
      <c r="D50" s="165"/>
      <c r="E50" s="165"/>
      <c r="F50" s="165"/>
      <c r="G50" s="165"/>
      <c r="H50" s="165"/>
      <c r="I50" s="165"/>
      <c r="J50" s="165"/>
      <c r="K50" s="165"/>
      <c r="L50" s="170"/>
    </row>
    <row r="51" spans="1:13" ht="11.25" customHeight="1" x14ac:dyDescent="0.2">
      <c r="B51" s="15"/>
      <c r="D51" s="25"/>
      <c r="F51" s="25"/>
      <c r="G51" s="49"/>
      <c r="H51" s="25"/>
      <c r="I51" s="41"/>
      <c r="J51" s="41"/>
      <c r="K51" s="41"/>
      <c r="L51" s="17"/>
    </row>
    <row r="52" spans="1:13" ht="12.75" x14ac:dyDescent="0.2">
      <c r="B52" s="200" t="s">
        <v>327</v>
      </c>
      <c r="C52" s="165"/>
      <c r="D52" s="165"/>
      <c r="E52" s="165"/>
      <c r="F52" s="165"/>
      <c r="G52" s="165"/>
      <c r="H52" s="165"/>
      <c r="I52" s="165"/>
      <c r="J52" s="165"/>
      <c r="K52" s="165"/>
      <c r="L52" s="170"/>
    </row>
    <row r="53" spans="1:13" ht="11.25" customHeight="1" x14ac:dyDescent="0.2">
      <c r="B53" s="15"/>
      <c r="D53" s="25"/>
      <c r="F53" s="25"/>
      <c r="G53" s="49"/>
      <c r="H53" s="25"/>
      <c r="I53" s="41"/>
      <c r="J53" s="41"/>
      <c r="K53" s="41"/>
      <c r="L53" s="17"/>
    </row>
    <row r="54" spans="1:13" ht="12.75" x14ac:dyDescent="0.2">
      <c r="B54" s="200" t="s">
        <v>328</v>
      </c>
      <c r="C54" s="165"/>
      <c r="D54" s="165"/>
      <c r="E54" s="165"/>
      <c r="F54" s="165"/>
      <c r="G54" s="165"/>
      <c r="H54" s="165"/>
      <c r="I54" s="165"/>
      <c r="J54" s="165"/>
      <c r="K54" s="165"/>
      <c r="L54" s="170"/>
    </row>
    <row r="55" spans="1:13" ht="8.25" customHeight="1" x14ac:dyDescent="0.2">
      <c r="B55" s="15"/>
      <c r="D55" s="25"/>
      <c r="F55" s="25"/>
      <c r="G55" s="49"/>
      <c r="H55" s="25"/>
      <c r="I55" s="41"/>
      <c r="J55" s="41"/>
      <c r="K55" s="41"/>
      <c r="L55" s="17"/>
    </row>
    <row r="56" spans="1:13" ht="15" x14ac:dyDescent="0.25">
      <c r="A56" s="20"/>
      <c r="B56" s="19"/>
      <c r="C56" s="100" t="s">
        <v>184</v>
      </c>
      <c r="D56" s="101"/>
      <c r="E56" s="100" t="s">
        <v>193</v>
      </c>
      <c r="F56" s="101"/>
      <c r="G56" s="102" t="s">
        <v>186</v>
      </c>
      <c r="H56" s="101"/>
      <c r="I56" s="103" t="s">
        <v>91</v>
      </c>
      <c r="J56" s="103"/>
      <c r="K56" s="103"/>
      <c r="L56" s="21"/>
      <c r="M56" s="20"/>
    </row>
    <row r="57" spans="1:13" ht="53.25" customHeight="1" x14ac:dyDescent="0.2">
      <c r="B57" s="15"/>
      <c r="C57" s="266" t="s">
        <v>300</v>
      </c>
      <c r="D57" s="105" t="s">
        <v>188</v>
      </c>
      <c r="E57" s="280" t="s">
        <v>301</v>
      </c>
      <c r="F57" s="267" t="s">
        <v>190</v>
      </c>
      <c r="G57" s="205" t="str">
        <f>SUBSTITUTE($C$57,"{{EMAIL}}",E57)</f>
        <v>User: Please classify this email as either green or blue: Hi -- My Mixmaster4000 is producing a strange noise when I operate it. It also smells a bit smoky and plasticky, like burning electronics.  I need a replacement.</v>
      </c>
      <c r="H57" s="208" t="s">
        <v>93</v>
      </c>
      <c r="I57" s="288" t="e">
        <f ca="1">claudeMessages(G57,'Tutorial How-To'!$E$37,"temperature",0)</f>
        <v>#NAME?</v>
      </c>
      <c r="J57" s="289"/>
      <c r="K57" s="290"/>
      <c r="L57" s="17"/>
    </row>
    <row r="58" spans="1:13" ht="68.25" customHeight="1" x14ac:dyDescent="0.2">
      <c r="B58" s="15"/>
      <c r="C58" s="252"/>
      <c r="D58" s="105"/>
      <c r="E58" s="207"/>
      <c r="F58" s="165"/>
      <c r="G58" s="207"/>
      <c r="H58" s="165"/>
      <c r="I58" s="291"/>
      <c r="J58" s="292"/>
      <c r="K58" s="237"/>
      <c r="L58" s="17"/>
    </row>
    <row r="59" spans="1:13" ht="8.25" customHeight="1" x14ac:dyDescent="0.2">
      <c r="B59" s="15"/>
      <c r="C59" s="252"/>
      <c r="D59" s="25"/>
      <c r="F59" s="25"/>
      <c r="G59" s="49"/>
      <c r="H59" s="25"/>
      <c r="I59" s="41"/>
      <c r="J59" s="41"/>
      <c r="K59" s="41"/>
      <c r="L59" s="17"/>
    </row>
    <row r="60" spans="1:13" ht="53.25" customHeight="1" x14ac:dyDescent="0.2">
      <c r="B60" s="15"/>
      <c r="C60" s="252"/>
      <c r="D60" s="105" t="s">
        <v>188</v>
      </c>
      <c r="E60" s="280" t="s">
        <v>303</v>
      </c>
      <c r="F60" s="267" t="s">
        <v>190</v>
      </c>
      <c r="G60" s="205" t="str">
        <f>SUBSTITUTE($C$57,"{{EMAIL}}",E60)</f>
        <v>User: Please classify this email as either green or blue: Can I use my Mixmaster 4000 to mix paint, or is it only meant for mixing food?</v>
      </c>
      <c r="H60" s="208" t="s">
        <v>93</v>
      </c>
      <c r="I60" s="288" t="e">
        <f ca="1">claudeMessages(G60,'Tutorial How-To'!$E$37,"temperature",0)</f>
        <v>#NAME?</v>
      </c>
      <c r="J60" s="289"/>
      <c r="K60" s="290"/>
      <c r="L60" s="17"/>
    </row>
    <row r="61" spans="1:13" ht="53.25" customHeight="1" x14ac:dyDescent="0.2">
      <c r="B61" s="15"/>
      <c r="C61" s="252"/>
      <c r="D61" s="105"/>
      <c r="E61" s="207"/>
      <c r="F61" s="165"/>
      <c r="G61" s="207"/>
      <c r="H61" s="165"/>
      <c r="I61" s="291"/>
      <c r="J61" s="292"/>
      <c r="K61" s="237"/>
      <c r="L61" s="17"/>
    </row>
    <row r="62" spans="1:13" ht="8.25" customHeight="1" x14ac:dyDescent="0.2">
      <c r="B62" s="15"/>
      <c r="C62" s="252"/>
      <c r="D62" s="25"/>
      <c r="F62" s="25"/>
      <c r="G62" s="49"/>
      <c r="H62" s="25"/>
      <c r="I62" s="41"/>
      <c r="J62" s="41"/>
      <c r="K62" s="41"/>
      <c r="L62" s="17"/>
    </row>
    <row r="63" spans="1:13" ht="53.25" customHeight="1" x14ac:dyDescent="0.2">
      <c r="B63" s="15"/>
      <c r="C63" s="252"/>
      <c r="D63" s="105" t="s">
        <v>188</v>
      </c>
      <c r="E63" s="280" t="s">
        <v>305</v>
      </c>
      <c r="F63" s="267" t="s">
        <v>190</v>
      </c>
      <c r="G63" s="205" t="str">
        <f>SUBSTITUTE($C$57,"{{EMAIL}}",E63)</f>
        <v>User: Please classify this email as either green or blue: I HAVE BEEN WAITING 4 MONTHS FOR MY MONTHLY CHARGES TO END AFTER CANCELLING!!  WTF IS GOING ON???</v>
      </c>
      <c r="H63" s="208" t="s">
        <v>93</v>
      </c>
      <c r="I63" s="288" t="e">
        <f ca="1">claudeMessages(G63,'Tutorial How-To'!$E$37,"temperature",0)</f>
        <v>#NAME?</v>
      </c>
      <c r="J63" s="289"/>
      <c r="K63" s="290"/>
      <c r="L63" s="17"/>
    </row>
    <row r="64" spans="1:13" ht="53.25" customHeight="1" x14ac:dyDescent="0.2">
      <c r="B64" s="15"/>
      <c r="C64" s="252"/>
      <c r="D64" s="105"/>
      <c r="E64" s="207"/>
      <c r="F64" s="165"/>
      <c r="G64" s="207"/>
      <c r="H64" s="165"/>
      <c r="I64" s="291"/>
      <c r="J64" s="292"/>
      <c r="K64" s="237"/>
      <c r="L64" s="17"/>
    </row>
    <row r="65" spans="2:12" ht="8.25" customHeight="1" x14ac:dyDescent="0.2">
      <c r="B65" s="15"/>
      <c r="C65" s="252"/>
      <c r="D65" s="25"/>
      <c r="F65" s="25"/>
      <c r="G65" s="49"/>
      <c r="H65" s="25"/>
      <c r="I65" s="41"/>
      <c r="J65" s="41"/>
      <c r="K65" s="41"/>
      <c r="L65" s="17"/>
    </row>
    <row r="66" spans="2:12" ht="53.25" customHeight="1" x14ac:dyDescent="0.2">
      <c r="B66" s="15"/>
      <c r="C66" s="252"/>
      <c r="D66" s="105" t="s">
        <v>188</v>
      </c>
      <c r="E66" s="280" t="s">
        <v>307</v>
      </c>
      <c r="F66" s="267" t="s">
        <v>190</v>
      </c>
      <c r="G66" s="205" t="str">
        <f>SUBSTITUTE($C$57,"{{EMAIL}}",E66)</f>
        <v>User: Please classify this email as either green or blue: How did I get here I am not good with computer.  Halp.</v>
      </c>
      <c r="H66" s="208" t="s">
        <v>93</v>
      </c>
      <c r="I66" s="288" t="e">
        <f ca="1">claudeMessages(G66,'Tutorial How-To'!$E$37,"temperature",0)</f>
        <v>#NAME?</v>
      </c>
      <c r="J66" s="289"/>
      <c r="K66" s="290"/>
      <c r="L66" s="17"/>
    </row>
    <row r="67" spans="2:12" ht="53.25" customHeight="1" x14ac:dyDescent="0.2">
      <c r="B67" s="15"/>
      <c r="C67" s="253"/>
      <c r="D67" s="105"/>
      <c r="E67" s="207"/>
      <c r="F67" s="165"/>
      <c r="G67" s="207"/>
      <c r="H67" s="165"/>
      <c r="I67" s="291"/>
      <c r="J67" s="292"/>
      <c r="K67" s="237"/>
      <c r="L67" s="17"/>
    </row>
    <row r="68" spans="2:12" ht="15.75" customHeight="1" x14ac:dyDescent="0.2">
      <c r="B68" s="15"/>
      <c r="C68" s="108"/>
      <c r="D68" s="47"/>
      <c r="E68" s="109"/>
      <c r="F68" s="25"/>
      <c r="G68" s="109"/>
      <c r="H68" s="25"/>
      <c r="I68" s="109"/>
      <c r="J68" s="109"/>
      <c r="K68" s="109"/>
      <c r="L68" s="17"/>
    </row>
    <row r="69" spans="2:12" ht="14.25" collapsed="1" x14ac:dyDescent="0.2">
      <c r="B69" s="65" t="s">
        <v>120</v>
      </c>
      <c r="C69" s="224" t="s">
        <v>121</v>
      </c>
      <c r="D69" s="165"/>
      <c r="E69" s="165"/>
      <c r="F69" s="165"/>
      <c r="G69" s="165"/>
      <c r="H69" s="165"/>
      <c r="I69" s="165"/>
      <c r="J69" s="165"/>
      <c r="K69" s="165"/>
      <c r="L69" s="170"/>
    </row>
    <row r="70" spans="2:12" ht="12.75" hidden="1" outlineLevel="1" x14ac:dyDescent="0.2">
      <c r="B70" s="298" t="s">
        <v>329</v>
      </c>
      <c r="C70" s="188"/>
      <c r="D70" s="188"/>
      <c r="E70" s="188"/>
      <c r="F70" s="188"/>
      <c r="G70" s="188"/>
      <c r="H70" s="188"/>
      <c r="I70" s="188"/>
      <c r="J70" s="188"/>
      <c r="K70" s="188"/>
      <c r="L70" s="189"/>
    </row>
    <row r="71" spans="2:12" ht="12.75" x14ac:dyDescent="0.2">
      <c r="B71" s="6"/>
      <c r="C71" s="6"/>
      <c r="D71" s="98"/>
      <c r="E71" s="6"/>
      <c r="F71" s="98"/>
      <c r="G71" s="99"/>
      <c r="H71" s="98"/>
      <c r="I71" s="110"/>
      <c r="J71" s="110"/>
      <c r="K71" s="110"/>
      <c r="L71" s="6"/>
    </row>
    <row r="72" spans="2:12" ht="14.25" x14ac:dyDescent="0.2">
      <c r="B72" s="221" t="s">
        <v>330</v>
      </c>
      <c r="C72" s="165"/>
      <c r="D72" s="165"/>
      <c r="E72" s="165"/>
      <c r="H72" s="132"/>
      <c r="I72" s="175" t="s">
        <v>331</v>
      </c>
      <c r="J72" s="165"/>
      <c r="K72" s="165"/>
      <c r="L72" s="165"/>
    </row>
    <row r="73" spans="2:12" ht="12.75" x14ac:dyDescent="0.2">
      <c r="G73" s="49"/>
      <c r="H73" s="25"/>
      <c r="I73" s="41"/>
    </row>
    <row r="74" spans="2:12" ht="14.25" x14ac:dyDescent="0.2">
      <c r="B74" s="222" t="s">
        <v>80</v>
      </c>
      <c r="C74" s="165"/>
      <c r="D74" s="165"/>
      <c r="E74" s="165"/>
      <c r="F74" s="165"/>
      <c r="G74" s="165"/>
      <c r="H74" s="165"/>
      <c r="I74" s="165"/>
      <c r="J74" s="165"/>
      <c r="K74" s="165"/>
      <c r="L74" s="165"/>
    </row>
    <row r="75" spans="2:12" ht="14.25" x14ac:dyDescent="0.2">
      <c r="B75" s="222" t="s">
        <v>113</v>
      </c>
      <c r="C75" s="165"/>
      <c r="D75" s="165"/>
      <c r="E75" s="165"/>
      <c r="F75" s="165"/>
      <c r="G75" s="165"/>
      <c r="H75" s="165"/>
      <c r="I75" s="165"/>
      <c r="J75" s="165"/>
      <c r="K75" s="165"/>
      <c r="L75" s="165"/>
    </row>
    <row r="76" spans="2:12" ht="14.25" x14ac:dyDescent="0.2">
      <c r="B76" s="133"/>
      <c r="C76" s="133"/>
      <c r="D76" s="133"/>
      <c r="E76" s="133"/>
      <c r="F76" s="133"/>
      <c r="G76" s="133"/>
      <c r="H76" s="133"/>
      <c r="I76" s="133"/>
      <c r="J76" s="133"/>
      <c r="K76" s="133"/>
      <c r="L76" s="133"/>
    </row>
    <row r="77" spans="2:12" ht="14.25" x14ac:dyDescent="0.2">
      <c r="B77" s="133"/>
      <c r="C77" s="133"/>
      <c r="D77" s="133"/>
      <c r="E77" s="133"/>
      <c r="F77" s="133"/>
      <c r="G77" s="133"/>
      <c r="H77" s="133"/>
      <c r="I77" s="133"/>
      <c r="J77" s="133"/>
      <c r="K77" s="133"/>
      <c r="L77" s="133"/>
    </row>
    <row r="78" spans="2:12" ht="14.25" x14ac:dyDescent="0.2">
      <c r="B78" s="133"/>
      <c r="C78" s="133"/>
      <c r="D78" s="133"/>
      <c r="E78" s="133"/>
      <c r="F78" s="133"/>
      <c r="G78" s="133"/>
      <c r="H78" s="133"/>
      <c r="I78" s="133"/>
      <c r="J78" s="133"/>
      <c r="K78" s="133"/>
      <c r="L78" s="133"/>
    </row>
    <row r="79" spans="2:12" ht="14.25" x14ac:dyDescent="0.2">
      <c r="B79" s="133"/>
      <c r="C79" s="133"/>
      <c r="D79" s="133"/>
      <c r="E79" s="133"/>
      <c r="F79" s="133"/>
      <c r="G79" s="133"/>
      <c r="H79" s="133"/>
      <c r="I79" s="133"/>
      <c r="J79" s="133"/>
      <c r="K79" s="133"/>
      <c r="L79" s="133"/>
    </row>
  </sheetData>
  <mergeCells count="81">
    <mergeCell ref="B75:L75"/>
    <mergeCell ref="G66:G67"/>
    <mergeCell ref="H66:H67"/>
    <mergeCell ref="I66:K67"/>
    <mergeCell ref="C69:L69"/>
    <mergeCell ref="B70:L70"/>
    <mergeCell ref="B72:E72"/>
    <mergeCell ref="I72:L72"/>
    <mergeCell ref="B54:L54"/>
    <mergeCell ref="I63:K64"/>
    <mergeCell ref="E66:E67"/>
    <mergeCell ref="F66:F67"/>
    <mergeCell ref="B74:L74"/>
    <mergeCell ref="C42:G46"/>
    <mergeCell ref="B49:E49"/>
    <mergeCell ref="I49:L49"/>
    <mergeCell ref="B50:L50"/>
    <mergeCell ref="B52:L52"/>
    <mergeCell ref="I25:I26"/>
    <mergeCell ref="K25:K26"/>
    <mergeCell ref="B28:L28"/>
    <mergeCell ref="C30:L30"/>
    <mergeCell ref="B31:L31"/>
    <mergeCell ref="G63:G64"/>
    <mergeCell ref="H63:H64"/>
    <mergeCell ref="D25:D26"/>
    <mergeCell ref="E25:E26"/>
    <mergeCell ref="F25:F26"/>
    <mergeCell ref="G25:G26"/>
    <mergeCell ref="H25:H26"/>
    <mergeCell ref="C32:L32"/>
    <mergeCell ref="C33:L33"/>
    <mergeCell ref="C34:L34"/>
    <mergeCell ref="C35:L35"/>
    <mergeCell ref="B36:L36"/>
    <mergeCell ref="C37:L37"/>
    <mergeCell ref="C38:L38"/>
    <mergeCell ref="B39:L39"/>
    <mergeCell ref="C41:E41"/>
    <mergeCell ref="I57:K58"/>
    <mergeCell ref="E60:E61"/>
    <mergeCell ref="F60:F61"/>
    <mergeCell ref="I60:K61"/>
    <mergeCell ref="C16:C26"/>
    <mergeCell ref="E16:E17"/>
    <mergeCell ref="F16:F17"/>
    <mergeCell ref="G16:G17"/>
    <mergeCell ref="H16:H17"/>
    <mergeCell ref="I16:I17"/>
    <mergeCell ref="I19:I20"/>
    <mergeCell ref="D16:D17"/>
    <mergeCell ref="D19:D20"/>
    <mergeCell ref="C57:C67"/>
    <mergeCell ref="E63:E64"/>
    <mergeCell ref="F63:F64"/>
    <mergeCell ref="G60:G61"/>
    <mergeCell ref="H60:H61"/>
    <mergeCell ref="E57:E58"/>
    <mergeCell ref="F57:F58"/>
    <mergeCell ref="G57:G58"/>
    <mergeCell ref="H57:H58"/>
    <mergeCell ref="K22:K23"/>
    <mergeCell ref="D22:D23"/>
    <mergeCell ref="E22:E23"/>
    <mergeCell ref="F22:F23"/>
    <mergeCell ref="G22:G23"/>
    <mergeCell ref="H22:H23"/>
    <mergeCell ref="I22:I23"/>
    <mergeCell ref="B11:L11"/>
    <mergeCell ref="B13:L13"/>
    <mergeCell ref="E19:E20"/>
    <mergeCell ref="F19:F20"/>
    <mergeCell ref="G19:G20"/>
    <mergeCell ref="H19:H20"/>
    <mergeCell ref="K16:K17"/>
    <mergeCell ref="K19:K20"/>
    <mergeCell ref="B1:I1"/>
    <mergeCell ref="B3:C3"/>
    <mergeCell ref="B7:E7"/>
    <mergeCell ref="I7:L7"/>
    <mergeCell ref="B8:L8"/>
  </mergeCells>
  <conditionalFormatting sqref="I16:I17">
    <cfRule type="containsText" dxfId="18" priority="8" operator="containsText" text="B) B">
      <formula>NOT(ISERROR(SEARCH(("B) B"),(I16))))</formula>
    </cfRule>
  </conditionalFormatting>
  <conditionalFormatting sqref="I19:I20">
    <cfRule type="containsText" dxfId="17" priority="1" operator="containsText" text="A) P">
      <formula>NOT(ISERROR(SEARCH(("A) P"),(I19))))</formula>
    </cfRule>
    <cfRule type="containsText" dxfId="16" priority="9" operator="containsText" text="D) O">
      <formula>NOT(ISERROR(SEARCH(("D) O"),(I19))))</formula>
    </cfRule>
  </conditionalFormatting>
  <conditionalFormatting sqref="I22:I23">
    <cfRule type="containsText" dxfId="15" priority="2" operator="containsText" text="C) B">
      <formula>NOT(ISERROR(SEARCH(("C) B"),(I22))))</formula>
    </cfRule>
  </conditionalFormatting>
  <conditionalFormatting sqref="I25:I26">
    <cfRule type="containsText" dxfId="14" priority="5" operator="containsText" text="D) O">
      <formula>NOT(ISERROR(SEARCH(("D) O"),(I25))))</formula>
    </cfRule>
  </conditionalFormatting>
  <conditionalFormatting sqref="I59:I61">
    <cfRule type="containsText" dxfId="13" priority="3" operator="containsText" text="&lt;answer&gt;A&lt;/answer&gt;">
      <formula>NOT(ISERROR(SEARCH(("&lt;answer&gt;A&lt;/answer&gt;"),(I59))))</formula>
    </cfRule>
  </conditionalFormatting>
  <conditionalFormatting sqref="I62:I64">
    <cfRule type="containsText" dxfId="12" priority="4" operator="containsText" text="&lt;answer&gt;C&lt;/answer&gt;">
      <formula>NOT(ISERROR(SEARCH(("&lt;answer&gt;C&lt;/answer&gt;"),(I62))))</formula>
    </cfRule>
  </conditionalFormatting>
  <conditionalFormatting sqref="I57:K58">
    <cfRule type="containsText" dxfId="11" priority="7" operator="containsText" text="&lt;answer&gt;B&lt;/answer&gt;">
      <formula>NOT(ISERROR(SEARCH(("&lt;answer&gt;B&lt;/answer&gt;"),(I57))))</formula>
    </cfRule>
  </conditionalFormatting>
  <conditionalFormatting sqref="I60:K61">
    <cfRule type="containsText" dxfId="10" priority="10" operator="containsText" text="&lt;answer&gt;D&lt;/answer&gt;">
      <formula>NOT(ISERROR(SEARCH(("&lt;answer&gt;D&lt;/answer&gt;"),(I60))))</formula>
    </cfRule>
  </conditionalFormatting>
  <conditionalFormatting sqref="I66:K67">
    <cfRule type="containsText" dxfId="9" priority="6" operator="containsText" text="&lt;answer&gt;D&lt;/answer&gt;">
      <formula>NOT(ISERROR(SEARCH(("&lt;answer&gt;D&lt;/answer&gt;"),(I66))))</formula>
    </cfRule>
  </conditionalFormatting>
  <hyperlinks>
    <hyperlink ref="C4" location="C6Exercise1" display="Exercise 6.1 - Classifying Emails" xr:uid="{00000000-0004-0000-0E00-000000000000}"/>
    <hyperlink ref="C5" location="C6Exercise2" display="Exercise 6.2 - Email Classification Formatting" xr:uid="{00000000-0004-0000-0E00-000001000000}"/>
    <hyperlink ref="I7" location="C6ExerciseTitle" display="Back to top ↑" xr:uid="{00000000-0004-0000-0E00-000002000000}"/>
    <hyperlink ref="I49" location="C6ExerciseTitle" display="Back to top ↑" xr:uid="{00000000-0004-0000-0E00-000003000000}"/>
    <hyperlink ref="B72" location="C6LessonTitle" display="← Chapter 6: Precognition (Thinking Step by Step)" xr:uid="{00000000-0004-0000-0E00-000004000000}"/>
    <hyperlink ref="I72" location="C7LessonTitle" display="Chapter 7: Using Examples (Few-Shot Prompting) →" xr:uid="{00000000-0004-0000-0E00-000005000000}"/>
    <hyperlink ref="B74" location="C6ExerciseTitle" display="Back to top ↑" xr:uid="{00000000-0004-0000-0E00-000006000000}"/>
    <hyperlink ref="B75" location="IntroTitle" display="Table of Contents" xr:uid="{00000000-0004-0000-0E00-000007000000}"/>
  </hyperlinks>
  <pageMargins left="0.7" right="0.7" top="0.75" bottom="0.75" header="0.3" footer="0.3"/>
  <pageSetup paperSize="9" scale="50"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D966"/>
    <outlinePr summaryBelow="0" summaryRight="0"/>
    <pageSetUpPr fitToPage="1"/>
  </sheetPr>
  <dimension ref="A1:G53"/>
  <sheetViews>
    <sheetView showGridLines="0" workbookViewId="0"/>
  </sheetViews>
  <sheetFormatPr defaultColWidth="12.5703125" defaultRowHeight="15.75" customHeight="1" x14ac:dyDescent="0.2"/>
  <cols>
    <col min="1" max="1" width="5.42578125" customWidth="1"/>
    <col min="2" max="2" width="3" customWidth="1"/>
    <col min="3" max="3" width="63.28515625" customWidth="1"/>
    <col min="4" max="4" width="4" customWidth="1"/>
    <col min="5" max="5" width="55.7109375" customWidth="1"/>
    <col min="6" max="6" width="3" customWidth="1"/>
    <col min="7" max="7" width="5.42578125" customWidth="1"/>
  </cols>
  <sheetData>
    <row r="1" spans="1:7" ht="32.25" customHeight="1" x14ac:dyDescent="0.4">
      <c r="A1" s="1"/>
      <c r="B1" s="164" t="s">
        <v>332</v>
      </c>
      <c r="C1" s="165"/>
      <c r="D1" s="165"/>
      <c r="E1" s="165"/>
      <c r="F1" s="3"/>
      <c r="G1" s="3"/>
    </row>
    <row r="2" spans="1:7" ht="21.75" customHeight="1" x14ac:dyDescent="0.2"/>
    <row r="3" spans="1:7" ht="21.75" customHeight="1" x14ac:dyDescent="0.3">
      <c r="A3" s="16"/>
      <c r="B3" s="194" t="s">
        <v>76</v>
      </c>
      <c r="C3" s="165"/>
    </row>
    <row r="4" spans="1:7" ht="15.75" customHeight="1" x14ac:dyDescent="0.2">
      <c r="A4" s="16"/>
      <c r="C4" s="40" t="s">
        <v>53</v>
      </c>
    </row>
    <row r="5" spans="1:7" ht="15.75" customHeight="1" x14ac:dyDescent="0.2">
      <c r="A5" s="16"/>
      <c r="C5" s="40" t="s">
        <v>77</v>
      </c>
    </row>
    <row r="6" spans="1:7" ht="15.75" customHeight="1" x14ac:dyDescent="0.2">
      <c r="A6" s="16" t="s">
        <v>78</v>
      </c>
      <c r="C6" s="40" t="s">
        <v>79</v>
      </c>
    </row>
    <row r="7" spans="1:7" ht="33.75" customHeight="1" x14ac:dyDescent="0.2"/>
    <row r="8" spans="1:7" ht="29.25" customHeight="1" x14ac:dyDescent="0.2">
      <c r="A8" s="41"/>
      <c r="B8" s="195" t="s">
        <v>53</v>
      </c>
      <c r="C8" s="196"/>
      <c r="D8" s="196"/>
      <c r="E8" s="197" t="s">
        <v>80</v>
      </c>
      <c r="F8" s="198"/>
      <c r="G8" s="41"/>
    </row>
    <row r="9" spans="1:7" ht="12.75" x14ac:dyDescent="0.2">
      <c r="B9" s="254" t="s">
        <v>333</v>
      </c>
      <c r="C9" s="188"/>
      <c r="D9" s="188"/>
      <c r="E9" s="188"/>
      <c r="F9" s="189"/>
    </row>
    <row r="10" spans="1:7" ht="33.75" customHeight="1" x14ac:dyDescent="0.2"/>
    <row r="11" spans="1:7" ht="29.25" customHeight="1" x14ac:dyDescent="0.2">
      <c r="B11" s="195" t="s">
        <v>77</v>
      </c>
      <c r="C11" s="196"/>
      <c r="D11" s="196"/>
      <c r="E11" s="197" t="s">
        <v>80</v>
      </c>
      <c r="F11" s="198"/>
    </row>
    <row r="12" spans="1:7" ht="12.75" x14ac:dyDescent="0.2">
      <c r="B12" s="200" t="s">
        <v>334</v>
      </c>
      <c r="C12" s="165"/>
      <c r="D12" s="165"/>
      <c r="E12" s="165"/>
      <c r="F12" s="170"/>
    </row>
    <row r="13" spans="1:7" ht="8.25" customHeight="1" x14ac:dyDescent="0.2">
      <c r="B13" s="15"/>
      <c r="F13" s="17"/>
    </row>
    <row r="14" spans="1:7" ht="12.75" x14ac:dyDescent="0.2">
      <c r="B14" s="15"/>
      <c r="C14" s="18" t="s">
        <v>90</v>
      </c>
      <c r="E14" s="18" t="s">
        <v>91</v>
      </c>
      <c r="F14" s="17"/>
    </row>
    <row r="15" spans="1:7" ht="65.25" customHeight="1" x14ac:dyDescent="0.2">
      <c r="B15" s="15"/>
      <c r="C15" s="54" t="s">
        <v>335</v>
      </c>
      <c r="D15" s="47" t="s">
        <v>93</v>
      </c>
      <c r="E15" s="54" t="e">
        <f ca="1">claudeMessages(C15, 'Tutorial How-To'!$E$37,"temperature",0)</f>
        <v>#NAME?</v>
      </c>
      <c r="F15" s="17"/>
    </row>
    <row r="16" spans="1:7" ht="22.5" customHeight="1" x14ac:dyDescent="0.2">
      <c r="B16" s="15"/>
      <c r="F16" s="17"/>
    </row>
    <row r="17" spans="1:7" ht="14.25" x14ac:dyDescent="0.2">
      <c r="B17" s="214" t="s">
        <v>336</v>
      </c>
      <c r="C17" s="165"/>
      <c r="D17" s="165"/>
      <c r="E17" s="165"/>
      <c r="F17" s="170"/>
    </row>
    <row r="18" spans="1:7" ht="8.25" customHeight="1" x14ac:dyDescent="0.2">
      <c r="B18" s="15"/>
      <c r="F18" s="17"/>
    </row>
    <row r="19" spans="1:7" ht="12.75" x14ac:dyDescent="0.2">
      <c r="B19" s="15"/>
      <c r="C19" s="18" t="s">
        <v>90</v>
      </c>
      <c r="E19" s="18" t="s">
        <v>91</v>
      </c>
      <c r="F19" s="17"/>
    </row>
    <row r="20" spans="1:7" ht="60.75" customHeight="1" x14ac:dyDescent="0.2">
      <c r="A20" s="49"/>
      <c r="B20" s="50"/>
      <c r="C20" s="205" t="s">
        <v>337</v>
      </c>
      <c r="D20" s="211" t="s">
        <v>93</v>
      </c>
      <c r="E20" s="299" t="e">
        <f ca="1">claudeMessages(C20, 'Tutorial How-To'!$E$37,"temperature",0)</f>
        <v>#NAME?</v>
      </c>
      <c r="F20" s="53"/>
      <c r="G20" s="49"/>
    </row>
    <row r="21" spans="1:7" ht="60.75" customHeight="1" x14ac:dyDescent="0.2">
      <c r="A21" s="49"/>
      <c r="B21" s="50"/>
      <c r="C21" s="207"/>
      <c r="D21" s="165"/>
      <c r="E21" s="301"/>
      <c r="F21" s="53"/>
      <c r="G21" s="49"/>
    </row>
    <row r="22" spans="1:7" ht="22.5" customHeight="1" x14ac:dyDescent="0.2">
      <c r="B22" s="15"/>
      <c r="F22" s="17"/>
    </row>
    <row r="23" spans="1:7" ht="12.75" x14ac:dyDescent="0.2">
      <c r="B23" s="200" t="s">
        <v>338</v>
      </c>
      <c r="C23" s="165"/>
      <c r="D23" s="165"/>
      <c r="E23" s="165"/>
      <c r="F23" s="170"/>
    </row>
    <row r="24" spans="1:7" ht="8.25" customHeight="1" x14ac:dyDescent="0.2">
      <c r="B24" s="15"/>
      <c r="F24" s="17"/>
    </row>
    <row r="25" spans="1:7" ht="12.75" x14ac:dyDescent="0.2">
      <c r="B25" s="15"/>
      <c r="C25" s="18" t="s">
        <v>90</v>
      </c>
      <c r="E25" s="18" t="s">
        <v>91</v>
      </c>
      <c r="F25" s="17"/>
    </row>
    <row r="26" spans="1:7" ht="63.75" customHeight="1" x14ac:dyDescent="0.2">
      <c r="B26" s="15"/>
      <c r="C26" s="302" t="s">
        <v>339</v>
      </c>
      <c r="D26" s="211" t="s">
        <v>93</v>
      </c>
      <c r="E26" s="299" t="e">
        <f ca="1">claudeMessages(C26, 'Tutorial How-To'!$E$37,"temperature",0)</f>
        <v>#NAME?</v>
      </c>
      <c r="F26" s="17"/>
    </row>
    <row r="27" spans="1:7" ht="63.75" customHeight="1" x14ac:dyDescent="0.2">
      <c r="B27" s="15"/>
      <c r="C27" s="206"/>
      <c r="D27" s="165"/>
      <c r="E27" s="300"/>
      <c r="F27" s="17"/>
    </row>
    <row r="28" spans="1:7" ht="63.75" customHeight="1" x14ac:dyDescent="0.2">
      <c r="B28" s="15"/>
      <c r="C28" s="206"/>
      <c r="D28" s="165"/>
      <c r="E28" s="300"/>
      <c r="F28" s="17"/>
    </row>
    <row r="29" spans="1:7" ht="63.75" customHeight="1" x14ac:dyDescent="0.2">
      <c r="B29" s="15"/>
      <c r="C29" s="207"/>
      <c r="D29" s="165"/>
      <c r="E29" s="301"/>
      <c r="F29" s="17"/>
    </row>
    <row r="30" spans="1:7" ht="15" customHeight="1" x14ac:dyDescent="0.2">
      <c r="B30" s="15"/>
      <c r="F30" s="17"/>
    </row>
    <row r="31" spans="1:7" ht="12.75" x14ac:dyDescent="0.2">
      <c r="B31" s="220" t="s">
        <v>340</v>
      </c>
      <c r="C31" s="188"/>
      <c r="D31" s="188"/>
      <c r="E31" s="188"/>
      <c r="F31" s="189"/>
    </row>
    <row r="33" spans="1:7" ht="15.75" customHeight="1" x14ac:dyDescent="0.2">
      <c r="E33" s="175" t="s">
        <v>341</v>
      </c>
      <c r="F33" s="165"/>
    </row>
    <row r="34" spans="1:7" ht="33.75" customHeight="1" x14ac:dyDescent="0.2"/>
    <row r="35" spans="1:7" ht="29.25" customHeight="1" x14ac:dyDescent="0.2">
      <c r="B35" s="195" t="s">
        <v>79</v>
      </c>
      <c r="C35" s="196"/>
      <c r="D35" s="196"/>
      <c r="E35" s="197" t="s">
        <v>80</v>
      </c>
      <c r="F35" s="198"/>
    </row>
    <row r="36" spans="1:7" ht="12.75" x14ac:dyDescent="0.2">
      <c r="B36" s="200" t="s">
        <v>342</v>
      </c>
      <c r="C36" s="165"/>
      <c r="D36" s="165"/>
      <c r="E36" s="165"/>
      <c r="F36" s="170"/>
    </row>
    <row r="37" spans="1:7" ht="8.25" customHeight="1" x14ac:dyDescent="0.2">
      <c r="B37" s="15"/>
      <c r="F37" s="17"/>
    </row>
    <row r="38" spans="1:7" ht="15.75" customHeight="1" x14ac:dyDescent="0.2">
      <c r="B38" s="15"/>
      <c r="C38" s="18" t="s">
        <v>90</v>
      </c>
      <c r="E38" s="18" t="s">
        <v>91</v>
      </c>
      <c r="F38" s="17"/>
    </row>
    <row r="39" spans="1:7" ht="65.25" customHeight="1" x14ac:dyDescent="0.2">
      <c r="B39" s="15"/>
      <c r="C39" s="54" t="s">
        <v>335</v>
      </c>
      <c r="D39" s="47" t="s">
        <v>93</v>
      </c>
      <c r="E39" s="54" t="e">
        <f ca="1">claudeMessages(C39, 'Tutorial How-To'!$E$37,"temperature",0)</f>
        <v>#NAME?</v>
      </c>
      <c r="F39" s="17"/>
    </row>
    <row r="40" spans="1:7" ht="8.25" customHeight="1" x14ac:dyDescent="0.2">
      <c r="B40" s="204"/>
      <c r="C40" s="165"/>
      <c r="D40" s="165"/>
      <c r="E40" s="165"/>
      <c r="F40" s="170"/>
    </row>
    <row r="41" spans="1:7" ht="60.75" customHeight="1" x14ac:dyDescent="0.2">
      <c r="A41" s="49"/>
      <c r="B41" s="50"/>
      <c r="C41" s="205" t="s">
        <v>337</v>
      </c>
      <c r="D41" s="211" t="s">
        <v>93</v>
      </c>
      <c r="E41" s="299" t="e">
        <f ca="1">claudeMessages(C41, 'Tutorial How-To'!$E$37,"temperature",0)</f>
        <v>#NAME?</v>
      </c>
      <c r="F41" s="53"/>
      <c r="G41" s="49"/>
    </row>
    <row r="42" spans="1:7" ht="60.75" customHeight="1" x14ac:dyDescent="0.2">
      <c r="A42" s="49"/>
      <c r="B42" s="50"/>
      <c r="C42" s="207"/>
      <c r="D42" s="165"/>
      <c r="E42" s="301"/>
      <c r="F42" s="53"/>
      <c r="G42" s="49"/>
    </row>
    <row r="43" spans="1:7" ht="8.25" customHeight="1" x14ac:dyDescent="0.2">
      <c r="B43" s="15"/>
      <c r="F43" s="17"/>
    </row>
    <row r="44" spans="1:7" ht="63.75" customHeight="1" x14ac:dyDescent="0.2">
      <c r="B44" s="15"/>
      <c r="C44" s="205" t="s">
        <v>343</v>
      </c>
      <c r="D44" s="211" t="s">
        <v>93</v>
      </c>
      <c r="E44" s="299" t="e">
        <f ca="1">claudeMessages(C44, 'Tutorial How-To'!$E$37,"temperature",0)</f>
        <v>#NAME?</v>
      </c>
      <c r="F44" s="17"/>
    </row>
    <row r="45" spans="1:7" ht="63.75" customHeight="1" x14ac:dyDescent="0.2">
      <c r="B45" s="15"/>
      <c r="C45" s="206"/>
      <c r="D45" s="165"/>
      <c r="E45" s="300"/>
      <c r="F45" s="17"/>
    </row>
    <row r="46" spans="1:7" ht="63.75" customHeight="1" x14ac:dyDescent="0.2">
      <c r="B46" s="15"/>
      <c r="C46" s="206"/>
      <c r="D46" s="165"/>
      <c r="E46" s="300"/>
      <c r="F46" s="17"/>
    </row>
    <row r="47" spans="1:7" ht="63.75" customHeight="1" x14ac:dyDescent="0.2">
      <c r="B47" s="15"/>
      <c r="C47" s="207"/>
      <c r="D47" s="165"/>
      <c r="E47" s="301"/>
      <c r="F47" s="17"/>
    </row>
    <row r="48" spans="1:7" ht="15.75" customHeight="1" x14ac:dyDescent="0.2">
      <c r="B48" s="61"/>
      <c r="C48" s="38"/>
      <c r="D48" s="38"/>
      <c r="E48" s="38"/>
      <c r="F48" s="39"/>
    </row>
    <row r="49" spans="2:6" ht="8.25" customHeight="1" x14ac:dyDescent="0.2"/>
    <row r="50" spans="2:6" ht="14.25" x14ac:dyDescent="0.2">
      <c r="B50" s="221" t="s">
        <v>344</v>
      </c>
      <c r="C50" s="165"/>
      <c r="D50" s="165"/>
      <c r="E50" s="175" t="s">
        <v>341</v>
      </c>
      <c r="F50" s="165"/>
    </row>
    <row r="51" spans="2:6" ht="8.25" customHeight="1" x14ac:dyDescent="0.2"/>
    <row r="52" spans="2:6" ht="14.25" x14ac:dyDescent="0.2">
      <c r="B52" s="222" t="s">
        <v>80</v>
      </c>
      <c r="C52" s="165"/>
      <c r="D52" s="165"/>
      <c r="E52" s="165"/>
      <c r="F52" s="165"/>
    </row>
    <row r="53" spans="2:6" ht="14.25" x14ac:dyDescent="0.2">
      <c r="B53" s="222" t="s">
        <v>113</v>
      </c>
      <c r="C53" s="165"/>
      <c r="D53" s="165"/>
      <c r="E53" s="165"/>
      <c r="F53" s="165"/>
    </row>
  </sheetData>
  <mergeCells count="32">
    <mergeCell ref="B40:F40"/>
    <mergeCell ref="C41:C42"/>
    <mergeCell ref="B52:F52"/>
    <mergeCell ref="B53:F53"/>
    <mergeCell ref="D41:D42"/>
    <mergeCell ref="E41:E42"/>
    <mergeCell ref="C44:C47"/>
    <mergeCell ref="D44:D47"/>
    <mergeCell ref="E44:E47"/>
    <mergeCell ref="B50:D50"/>
    <mergeCell ref="E50:F50"/>
    <mergeCell ref="B31:F31"/>
    <mergeCell ref="E33:F33"/>
    <mergeCell ref="B35:D35"/>
    <mergeCell ref="E35:F35"/>
    <mergeCell ref="B36:F36"/>
    <mergeCell ref="B11:D11"/>
    <mergeCell ref="E11:F11"/>
    <mergeCell ref="D26:D29"/>
    <mergeCell ref="E26:E29"/>
    <mergeCell ref="B12:F12"/>
    <mergeCell ref="B17:F17"/>
    <mergeCell ref="C20:C21"/>
    <mergeCell ref="D20:D21"/>
    <mergeCell ref="E20:E21"/>
    <mergeCell ref="B23:F23"/>
    <mergeCell ref="C26:C29"/>
    <mergeCell ref="B1:E1"/>
    <mergeCell ref="B3:C3"/>
    <mergeCell ref="B8:D8"/>
    <mergeCell ref="E8:F8"/>
    <mergeCell ref="B9:F9"/>
  </mergeCells>
  <hyperlinks>
    <hyperlink ref="C4" location="C7Lesson" display="Lesson" xr:uid="{00000000-0004-0000-0F00-000000000000}"/>
    <hyperlink ref="C5" location="C7Examples" display="Examples" xr:uid="{00000000-0004-0000-0F00-000001000000}"/>
    <hyperlink ref="C6" location="C7ExamplePlayground" display="Example Playground" xr:uid="{00000000-0004-0000-0F00-000002000000}"/>
    <hyperlink ref="E8" location="C7LessonTitle" display="Back to top ↑" xr:uid="{00000000-0004-0000-0F00-000003000000}"/>
    <hyperlink ref="E11" location="C7LessonTitle" display="Back to top ↑" xr:uid="{00000000-0004-0000-0F00-000004000000}"/>
    <hyperlink ref="E33" location="C7ExerciseTitle" display="Chapter 7 Exercises: Using Examples →" xr:uid="{00000000-0004-0000-0F00-000005000000}"/>
    <hyperlink ref="E35" location="C7LessonTitle" display="Back to top ↑" xr:uid="{00000000-0004-0000-0F00-000006000000}"/>
    <hyperlink ref="B50" location="C6ExerciseTitle" display="← Chapter 6 Exercises: Precognition (Thinking Step by Step)" xr:uid="{00000000-0004-0000-0F00-000007000000}"/>
    <hyperlink ref="E50" location="C7ExerciseTitle" display="Chapter 7 Exercises: Using Examples →" xr:uid="{00000000-0004-0000-0F00-000008000000}"/>
    <hyperlink ref="B52" location="C7LessonTitle" display="Back to top ↑" xr:uid="{00000000-0004-0000-0F00-000009000000}"/>
    <hyperlink ref="B53" location="IntroTitle" display="Table of Contents" xr:uid="{00000000-0004-0000-0F00-00000A000000}"/>
  </hyperlinks>
  <pageMargins left="0.7" right="0.7" top="0.75" bottom="0.75" header="0.3" footer="0.3"/>
  <pageSetup paperSize="9" scale="63"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D966"/>
    <outlinePr summaryBelow="0" summaryRight="0"/>
    <pageSetUpPr fitToPage="1"/>
  </sheetPr>
  <dimension ref="A1:M51"/>
  <sheetViews>
    <sheetView showGridLines="0" workbookViewId="0"/>
  </sheetViews>
  <sheetFormatPr defaultColWidth="12.5703125" defaultRowHeight="15.75" customHeight="1" outlineLevelRow="2" x14ac:dyDescent="0.2"/>
  <cols>
    <col min="1" max="1" width="5.42578125" customWidth="1"/>
    <col min="2" max="2" width="3" customWidth="1"/>
    <col min="3" max="3" width="38.85546875" customWidth="1"/>
    <col min="4" max="4" width="4" customWidth="1"/>
    <col min="5" max="5" width="24.28515625" customWidth="1"/>
    <col min="6" max="6" width="4" customWidth="1"/>
    <col min="7" max="7" width="33.140625" customWidth="1"/>
    <col min="8" max="8" width="4" customWidth="1"/>
    <col min="9" max="9" width="27.85546875" customWidth="1"/>
    <col min="10" max="10" width="4" customWidth="1"/>
    <col min="11" max="11" width="19.42578125" customWidth="1"/>
    <col min="12" max="12" width="3" customWidth="1"/>
    <col min="13" max="13" width="5.42578125" customWidth="1"/>
  </cols>
  <sheetData>
    <row r="1" spans="1:13" ht="32.25" customHeight="1" x14ac:dyDescent="0.4">
      <c r="A1" s="1"/>
      <c r="B1" s="164" t="s">
        <v>345</v>
      </c>
      <c r="C1" s="165"/>
      <c r="D1" s="165"/>
      <c r="E1" s="165"/>
      <c r="F1" s="165"/>
      <c r="G1" s="165"/>
      <c r="H1" s="165"/>
      <c r="I1" s="165"/>
      <c r="J1" s="2"/>
      <c r="K1" s="2"/>
      <c r="L1" s="3"/>
      <c r="M1" s="3"/>
    </row>
    <row r="2" spans="1:13" ht="21.75" customHeight="1" x14ac:dyDescent="0.2">
      <c r="D2" s="25"/>
      <c r="F2" s="25"/>
      <c r="G2" s="49"/>
      <c r="H2" s="25"/>
      <c r="I2" s="41"/>
      <c r="J2" s="41"/>
      <c r="K2" s="41"/>
    </row>
    <row r="3" spans="1:13" ht="21.75" customHeight="1" x14ac:dyDescent="0.3">
      <c r="A3" s="16"/>
      <c r="B3" s="194" t="s">
        <v>76</v>
      </c>
      <c r="C3" s="165"/>
      <c r="D3" s="25"/>
      <c r="F3" s="25"/>
      <c r="G3" s="16"/>
      <c r="H3" s="97"/>
    </row>
    <row r="4" spans="1:13" ht="15.75" customHeight="1" x14ac:dyDescent="0.2">
      <c r="A4" s="16"/>
      <c r="C4" s="40" t="s">
        <v>346</v>
      </c>
      <c r="D4" s="25"/>
      <c r="F4" s="25"/>
      <c r="G4" s="16"/>
      <c r="H4" s="25"/>
      <c r="I4" s="20"/>
      <c r="J4" s="20"/>
      <c r="K4" s="20"/>
    </row>
    <row r="5" spans="1:13" ht="33.75" customHeight="1" x14ac:dyDescent="0.2">
      <c r="D5" s="25"/>
      <c r="F5" s="25"/>
      <c r="H5" s="25"/>
    </row>
    <row r="6" spans="1:13" ht="29.25" customHeight="1" x14ac:dyDescent="0.2">
      <c r="B6" s="195" t="s">
        <v>346</v>
      </c>
      <c r="C6" s="196"/>
      <c r="D6" s="196"/>
      <c r="E6" s="196"/>
      <c r="F6" s="98"/>
      <c r="G6" s="99"/>
      <c r="H6" s="98"/>
      <c r="I6" s="197" t="s">
        <v>80</v>
      </c>
      <c r="J6" s="196"/>
      <c r="K6" s="196"/>
      <c r="L6" s="198"/>
    </row>
    <row r="7" spans="1:13" ht="12.75" x14ac:dyDescent="0.2">
      <c r="B7" s="200" t="s">
        <v>347</v>
      </c>
      <c r="C7" s="165"/>
      <c r="D7" s="165"/>
      <c r="E7" s="165"/>
      <c r="F7" s="165"/>
      <c r="G7" s="165"/>
      <c r="H7" s="165"/>
      <c r="I7" s="165"/>
      <c r="J7" s="165"/>
      <c r="K7" s="165"/>
      <c r="L7" s="170"/>
    </row>
    <row r="8" spans="1:13" ht="11.25" customHeight="1" x14ac:dyDescent="0.2">
      <c r="B8" s="8"/>
      <c r="C8" s="9"/>
      <c r="D8" s="9"/>
      <c r="E8" s="9"/>
      <c r="F8" s="9"/>
      <c r="G8" s="9"/>
      <c r="H8" s="9"/>
      <c r="I8" s="9"/>
      <c r="J8" s="9"/>
      <c r="K8" s="9"/>
      <c r="L8" s="11"/>
    </row>
    <row r="9" spans="1:13" ht="12.75" x14ac:dyDescent="0.2">
      <c r="B9" s="200" t="s">
        <v>348</v>
      </c>
      <c r="C9" s="165"/>
      <c r="D9" s="165"/>
      <c r="E9" s="165"/>
      <c r="F9" s="165"/>
      <c r="G9" s="165"/>
      <c r="H9" s="165"/>
      <c r="I9" s="165"/>
      <c r="J9" s="165"/>
      <c r="K9" s="165"/>
      <c r="L9" s="170"/>
    </row>
    <row r="10" spans="1:13" ht="57" x14ac:dyDescent="0.2">
      <c r="B10" s="42"/>
      <c r="C10" s="44" t="s">
        <v>295</v>
      </c>
      <c r="D10" s="124"/>
      <c r="E10" s="124"/>
      <c r="F10" s="124"/>
      <c r="G10" s="124"/>
      <c r="H10" s="124"/>
      <c r="I10" s="124"/>
      <c r="J10" s="124"/>
      <c r="K10" s="124"/>
      <c r="L10" s="125"/>
    </row>
    <row r="11" spans="1:13" ht="8.25" customHeight="1" x14ac:dyDescent="0.2">
      <c r="B11" s="15"/>
      <c r="D11" s="25"/>
      <c r="F11" s="25"/>
      <c r="G11" s="49"/>
      <c r="H11" s="25"/>
      <c r="I11" s="41"/>
      <c r="J11" s="41"/>
      <c r="K11" s="41"/>
      <c r="L11" s="17"/>
    </row>
    <row r="12" spans="1:13" ht="15" x14ac:dyDescent="0.25">
      <c r="A12" s="20"/>
      <c r="B12" s="19"/>
      <c r="C12" s="100" t="s">
        <v>184</v>
      </c>
      <c r="D12" s="101"/>
      <c r="E12" s="100" t="s">
        <v>193</v>
      </c>
      <c r="F12" s="101"/>
      <c r="G12" s="102" t="s">
        <v>186</v>
      </c>
      <c r="H12" s="101"/>
      <c r="I12" s="103" t="s">
        <v>91</v>
      </c>
      <c r="J12" s="103"/>
      <c r="K12" s="103" t="s">
        <v>349</v>
      </c>
      <c r="L12" s="21"/>
      <c r="M12" s="20"/>
    </row>
    <row r="13" spans="1:13" ht="57.75" customHeight="1" x14ac:dyDescent="0.2">
      <c r="B13" s="15"/>
      <c r="C13" s="266" t="s">
        <v>300</v>
      </c>
      <c r="D13" s="279" t="s">
        <v>188</v>
      </c>
      <c r="E13" s="280" t="s">
        <v>301</v>
      </c>
      <c r="F13" s="267" t="s">
        <v>190</v>
      </c>
      <c r="G13" s="205" t="str">
        <f>SUBSTITUTE($C$13,"{{EMAIL}}",E13)</f>
        <v>User: Please classify this email as either green or blue: Hi -- My Mixmaster4000 is producing a strange noise when I operate it. It also smells a bit smoky and plasticky, like burning electronics.  I need a replacement.</v>
      </c>
      <c r="H13" s="208" t="s">
        <v>93</v>
      </c>
      <c r="I13" s="210" t="e">
        <f ca="1">claudeMessages(G13,'Tutorial How-To'!$E$37,"temperature",0)</f>
        <v>#NAME?</v>
      </c>
      <c r="J13" s="109"/>
      <c r="K13" s="285" t="e">
        <f ca="1">RIGHT(I13, 1)</f>
        <v>#NAME?</v>
      </c>
      <c r="L13" s="17"/>
    </row>
    <row r="14" spans="1:13" ht="57.75" customHeight="1" x14ac:dyDescent="0.2">
      <c r="B14" s="15"/>
      <c r="C14" s="252"/>
      <c r="D14" s="165"/>
      <c r="E14" s="207"/>
      <c r="F14" s="165"/>
      <c r="G14" s="207"/>
      <c r="H14" s="165"/>
      <c r="I14" s="207"/>
      <c r="J14" s="109"/>
      <c r="K14" s="165"/>
      <c r="L14" s="17"/>
    </row>
    <row r="15" spans="1:13" ht="8.25" customHeight="1" x14ac:dyDescent="0.2">
      <c r="B15" s="15"/>
      <c r="C15" s="252"/>
      <c r="D15" s="25"/>
      <c r="F15" s="25"/>
      <c r="G15" s="49"/>
      <c r="H15" s="25"/>
      <c r="I15" s="41"/>
      <c r="J15" s="41"/>
      <c r="K15" s="41"/>
      <c r="L15" s="17"/>
    </row>
    <row r="16" spans="1:13" ht="57.75" customHeight="1" x14ac:dyDescent="0.2">
      <c r="B16" s="15"/>
      <c r="C16" s="252"/>
      <c r="D16" s="279" t="s">
        <v>188</v>
      </c>
      <c r="E16" s="280" t="s">
        <v>303</v>
      </c>
      <c r="F16" s="267" t="s">
        <v>190</v>
      </c>
      <c r="G16" s="205" t="str">
        <f>SUBSTITUTE($C$13,"{{EMAIL}}",E16)</f>
        <v>User: Please classify this email as either green or blue: Can I use my Mixmaster 4000 to mix paint, or is it only meant for mixing food?</v>
      </c>
      <c r="H16" s="208" t="s">
        <v>93</v>
      </c>
      <c r="I16" s="210" t="e">
        <f ca="1">claudeMessages(G16,'Tutorial How-To'!$E$37,"temperature",0)</f>
        <v>#NAME?</v>
      </c>
      <c r="J16" s="109"/>
      <c r="K16" s="285" t="e">
        <f ca="1">RIGHT(I16, 1)</f>
        <v>#NAME?</v>
      </c>
      <c r="L16" s="17"/>
    </row>
    <row r="17" spans="2:12" ht="57.75" customHeight="1" x14ac:dyDescent="0.2">
      <c r="B17" s="15"/>
      <c r="C17" s="252"/>
      <c r="D17" s="165"/>
      <c r="E17" s="207"/>
      <c r="F17" s="165"/>
      <c r="G17" s="207"/>
      <c r="H17" s="165"/>
      <c r="I17" s="207"/>
      <c r="J17" s="109"/>
      <c r="K17" s="165"/>
      <c r="L17" s="17"/>
    </row>
    <row r="18" spans="2:12" ht="8.25" customHeight="1" x14ac:dyDescent="0.2">
      <c r="B18" s="15"/>
      <c r="C18" s="252"/>
      <c r="D18" s="25"/>
      <c r="F18" s="25"/>
      <c r="G18" s="49"/>
      <c r="H18" s="25"/>
      <c r="I18" s="41"/>
      <c r="J18" s="41"/>
      <c r="K18" s="41"/>
      <c r="L18" s="17"/>
    </row>
    <row r="19" spans="2:12" ht="57.75" customHeight="1" x14ac:dyDescent="0.2">
      <c r="B19" s="15"/>
      <c r="C19" s="252"/>
      <c r="D19" s="279" t="s">
        <v>188</v>
      </c>
      <c r="E19" s="280" t="s">
        <v>305</v>
      </c>
      <c r="F19" s="267" t="s">
        <v>190</v>
      </c>
      <c r="G19" s="205" t="str">
        <f>SUBSTITUTE($C$13,"{{EMAIL}}",E19)</f>
        <v>User: Please classify this email as either green or blue: I HAVE BEEN WAITING 4 MONTHS FOR MY MONTHLY CHARGES TO END AFTER CANCELLING!!  WTF IS GOING ON???</v>
      </c>
      <c r="H19" s="208" t="s">
        <v>93</v>
      </c>
      <c r="I19" s="210" t="e">
        <f ca="1">claudeMessages(G19,'Tutorial How-To'!$E$37,"temperature",0)</f>
        <v>#NAME?</v>
      </c>
      <c r="J19" s="109"/>
      <c r="K19" s="285" t="e">
        <f ca="1">RIGHT(I19, 1)</f>
        <v>#NAME?</v>
      </c>
      <c r="L19" s="17"/>
    </row>
    <row r="20" spans="2:12" ht="57.75" customHeight="1" x14ac:dyDescent="0.2">
      <c r="B20" s="15"/>
      <c r="C20" s="252"/>
      <c r="D20" s="165"/>
      <c r="E20" s="207"/>
      <c r="F20" s="165"/>
      <c r="G20" s="207"/>
      <c r="H20" s="165"/>
      <c r="I20" s="207"/>
      <c r="J20" s="109"/>
      <c r="K20" s="165"/>
      <c r="L20" s="17"/>
    </row>
    <row r="21" spans="2:12" ht="8.25" customHeight="1" x14ac:dyDescent="0.2">
      <c r="B21" s="15"/>
      <c r="C21" s="252"/>
      <c r="D21" s="25"/>
      <c r="F21" s="25"/>
      <c r="G21" s="49"/>
      <c r="H21" s="25"/>
      <c r="I21" s="41"/>
      <c r="J21" s="41"/>
      <c r="K21" s="41"/>
      <c r="L21" s="17"/>
    </row>
    <row r="22" spans="2:12" ht="57.75" customHeight="1" x14ac:dyDescent="0.2">
      <c r="B22" s="15"/>
      <c r="C22" s="252"/>
      <c r="D22" s="279" t="s">
        <v>188</v>
      </c>
      <c r="E22" s="280" t="s">
        <v>307</v>
      </c>
      <c r="F22" s="267" t="s">
        <v>190</v>
      </c>
      <c r="G22" s="205" t="str">
        <f>SUBSTITUTE($C$13,"{{EMAIL}}",E22)</f>
        <v>User: Please classify this email as either green or blue: How did I get here I am not good with computer.  Halp.</v>
      </c>
      <c r="H22" s="208" t="s">
        <v>93</v>
      </c>
      <c r="I22" s="210" t="e">
        <f ca="1">claudeMessages(G22,'Tutorial How-To'!$E$37,"temperature",0)</f>
        <v>#NAME?</v>
      </c>
      <c r="J22" s="109"/>
      <c r="K22" s="285" t="e">
        <f ca="1">RIGHT(I22, 1)</f>
        <v>#NAME?</v>
      </c>
      <c r="L22" s="17"/>
    </row>
    <row r="23" spans="2:12" ht="57.75" customHeight="1" x14ac:dyDescent="0.2">
      <c r="B23" s="15"/>
      <c r="C23" s="253"/>
      <c r="D23" s="165"/>
      <c r="E23" s="207"/>
      <c r="F23" s="165"/>
      <c r="G23" s="207"/>
      <c r="H23" s="165"/>
      <c r="I23" s="207"/>
      <c r="J23" s="109"/>
      <c r="K23" s="165"/>
      <c r="L23" s="17"/>
    </row>
    <row r="24" spans="2:12" ht="15.75" customHeight="1" x14ac:dyDescent="0.2">
      <c r="B24" s="15"/>
      <c r="C24" s="108"/>
      <c r="D24" s="47"/>
      <c r="E24" s="109"/>
      <c r="F24" s="25"/>
      <c r="G24" s="109"/>
      <c r="H24" s="25"/>
      <c r="I24" s="109"/>
      <c r="J24" s="109"/>
      <c r="K24" s="109"/>
      <c r="L24" s="17"/>
    </row>
    <row r="25" spans="2:12" ht="14.25" collapsed="1" x14ac:dyDescent="0.2">
      <c r="B25" s="65" t="s">
        <v>120</v>
      </c>
      <c r="C25" s="224" t="s">
        <v>121</v>
      </c>
      <c r="D25" s="165"/>
      <c r="E25" s="165"/>
      <c r="F25" s="165"/>
      <c r="G25" s="165"/>
      <c r="H25" s="165"/>
      <c r="I25" s="165"/>
      <c r="J25" s="165"/>
      <c r="K25" s="165"/>
      <c r="L25" s="170"/>
    </row>
    <row r="26" spans="2:12" ht="19.5" hidden="1" customHeight="1" outlineLevel="1" x14ac:dyDescent="0.2">
      <c r="B26" s="281" t="s">
        <v>350</v>
      </c>
      <c r="C26" s="165"/>
      <c r="D26" s="165"/>
      <c r="E26" s="165"/>
      <c r="F26" s="165"/>
      <c r="G26" s="165"/>
      <c r="H26" s="165"/>
      <c r="I26" s="165"/>
      <c r="J26" s="165"/>
      <c r="K26" s="165"/>
      <c r="L26" s="170"/>
    </row>
    <row r="27" spans="2:12" ht="45.75" hidden="1" customHeight="1" outlineLevel="1" x14ac:dyDescent="0.2">
      <c r="B27" s="121" t="s">
        <v>266</v>
      </c>
      <c r="C27" s="282" t="s">
        <v>351</v>
      </c>
      <c r="D27" s="165"/>
      <c r="E27" s="165"/>
      <c r="F27" s="165"/>
      <c r="G27" s="165"/>
      <c r="H27" s="165"/>
      <c r="I27" s="165"/>
      <c r="J27" s="165"/>
      <c r="K27" s="165"/>
      <c r="L27" s="170"/>
    </row>
    <row r="28" spans="2:12" ht="34.5" hidden="1" customHeight="1" outlineLevel="1" x14ac:dyDescent="0.2">
      <c r="B28" s="121" t="s">
        <v>268</v>
      </c>
      <c r="C28" s="282" t="s">
        <v>352</v>
      </c>
      <c r="D28" s="165"/>
      <c r="E28" s="165"/>
      <c r="F28" s="165"/>
      <c r="G28" s="165"/>
      <c r="H28" s="165"/>
      <c r="I28" s="165"/>
      <c r="J28" s="165"/>
      <c r="K28" s="165"/>
      <c r="L28" s="170"/>
    </row>
    <row r="29" spans="2:12" ht="21" hidden="1" customHeight="1" outlineLevel="1" x14ac:dyDescent="0.2">
      <c r="B29" s="121" t="s">
        <v>270</v>
      </c>
      <c r="C29" s="282" t="s">
        <v>353</v>
      </c>
      <c r="D29" s="165"/>
      <c r="E29" s="165"/>
      <c r="F29" s="165"/>
      <c r="G29" s="165"/>
      <c r="H29" s="165"/>
      <c r="I29" s="165"/>
      <c r="J29" s="165"/>
      <c r="K29" s="165"/>
      <c r="L29" s="170"/>
    </row>
    <row r="30" spans="2:12" ht="34.5" hidden="1" customHeight="1" outlineLevel="1" x14ac:dyDescent="0.2">
      <c r="B30" s="264" t="s">
        <v>354</v>
      </c>
      <c r="C30" s="165"/>
      <c r="D30" s="165"/>
      <c r="E30" s="165"/>
      <c r="F30" s="165"/>
      <c r="G30" s="165"/>
      <c r="H30" s="165"/>
      <c r="I30" s="165"/>
      <c r="J30" s="165"/>
      <c r="K30" s="165"/>
      <c r="L30" s="170"/>
    </row>
    <row r="31" spans="2:12" ht="14.25" hidden="1" outlineLevel="1" x14ac:dyDescent="0.2">
      <c r="B31" s="126"/>
      <c r="C31" s="295"/>
      <c r="D31" s="165"/>
      <c r="E31" s="165"/>
      <c r="F31" s="165"/>
      <c r="G31" s="165"/>
      <c r="H31" s="165"/>
      <c r="I31" s="165"/>
      <c r="J31" s="165"/>
      <c r="K31" s="165"/>
      <c r="L31" s="170"/>
    </row>
    <row r="32" spans="2:12" ht="28.5" hidden="1" outlineLevel="1" collapsed="1" x14ac:dyDescent="0.2">
      <c r="B32" s="43" t="s">
        <v>317</v>
      </c>
      <c r="C32" s="296" t="s">
        <v>318</v>
      </c>
      <c r="D32" s="165"/>
      <c r="E32" s="165"/>
      <c r="F32" s="165"/>
      <c r="G32" s="165"/>
      <c r="H32" s="165"/>
      <c r="I32" s="165"/>
      <c r="J32" s="165"/>
      <c r="K32" s="165"/>
      <c r="L32" s="170"/>
    </row>
    <row r="33" spans="2:12" ht="12.75" hidden="1" outlineLevel="2" x14ac:dyDescent="0.2">
      <c r="B33" s="281" t="s">
        <v>355</v>
      </c>
      <c r="C33" s="165"/>
      <c r="D33" s="165"/>
      <c r="E33" s="165"/>
      <c r="F33" s="165"/>
      <c r="G33" s="165"/>
      <c r="H33" s="165"/>
      <c r="I33" s="165"/>
      <c r="J33" s="165"/>
      <c r="K33" s="165"/>
      <c r="L33" s="170"/>
    </row>
    <row r="34" spans="2:12" ht="14.25" hidden="1" outlineLevel="2" x14ac:dyDescent="0.2">
      <c r="B34" s="126"/>
      <c r="C34" s="108"/>
      <c r="D34" s="108"/>
      <c r="E34" s="108"/>
      <c r="F34" s="108"/>
      <c r="G34" s="108"/>
      <c r="H34" s="108"/>
      <c r="I34" s="108"/>
      <c r="J34" s="108"/>
      <c r="K34" s="108"/>
      <c r="L34" s="127"/>
    </row>
    <row r="35" spans="2:12" ht="15" hidden="1" outlineLevel="2" x14ac:dyDescent="0.25">
      <c r="B35" s="126"/>
      <c r="C35" s="297" t="s">
        <v>320</v>
      </c>
      <c r="D35" s="165"/>
      <c r="E35" s="165"/>
      <c r="F35" s="108"/>
      <c r="H35" s="100"/>
      <c r="I35" s="100" t="s">
        <v>321</v>
      </c>
      <c r="J35" s="108"/>
      <c r="K35" s="108"/>
      <c r="L35" s="127"/>
    </row>
    <row r="36" spans="2:12" ht="14.25" hidden="1" outlineLevel="2" x14ac:dyDescent="0.2">
      <c r="B36" s="126"/>
      <c r="C36" s="269" t="s">
        <v>356</v>
      </c>
      <c r="D36" s="270"/>
      <c r="E36" s="270"/>
      <c r="F36" s="270"/>
      <c r="G36" s="271"/>
      <c r="H36" s="128"/>
      <c r="I36" s="129" t="s">
        <v>357</v>
      </c>
      <c r="J36" s="108"/>
      <c r="K36" s="108"/>
      <c r="L36" s="127"/>
    </row>
    <row r="37" spans="2:12" ht="14.25" hidden="1" outlineLevel="2" x14ac:dyDescent="0.2">
      <c r="B37" s="126"/>
      <c r="C37" s="272"/>
      <c r="D37" s="165"/>
      <c r="E37" s="165"/>
      <c r="F37" s="165"/>
      <c r="G37" s="273"/>
      <c r="H37" s="128"/>
      <c r="I37" s="134" t="s">
        <v>358</v>
      </c>
      <c r="J37" s="108"/>
      <c r="K37" s="108"/>
      <c r="L37" s="127"/>
    </row>
    <row r="38" spans="2:12" ht="14.25" hidden="1" outlineLevel="2" x14ac:dyDescent="0.2">
      <c r="B38" s="126"/>
      <c r="C38" s="272"/>
      <c r="D38" s="165"/>
      <c r="E38" s="165"/>
      <c r="F38" s="165"/>
      <c r="G38" s="273"/>
      <c r="H38" s="128"/>
      <c r="I38" s="131" t="s">
        <v>359</v>
      </c>
      <c r="J38" s="108"/>
      <c r="K38" s="108"/>
      <c r="L38" s="127"/>
    </row>
    <row r="39" spans="2:12" ht="74.25" hidden="1" customHeight="1" outlineLevel="2" x14ac:dyDescent="0.2">
      <c r="B39" s="126"/>
      <c r="C39" s="272"/>
      <c r="D39" s="165"/>
      <c r="E39" s="165"/>
      <c r="F39" s="165"/>
      <c r="G39" s="273"/>
      <c r="H39" s="128"/>
      <c r="I39" s="131"/>
      <c r="J39" s="108"/>
      <c r="K39" s="108"/>
      <c r="L39" s="127"/>
    </row>
    <row r="40" spans="2:12" ht="74.25" hidden="1" customHeight="1" outlineLevel="2" x14ac:dyDescent="0.2">
      <c r="B40" s="126"/>
      <c r="C40" s="272"/>
      <c r="D40" s="165"/>
      <c r="E40" s="165"/>
      <c r="F40" s="165"/>
      <c r="G40" s="273"/>
      <c r="H40" s="128"/>
      <c r="I40" s="131"/>
      <c r="J40" s="108"/>
      <c r="K40" s="108"/>
      <c r="L40" s="127"/>
    </row>
    <row r="41" spans="2:12" ht="74.25" hidden="1" customHeight="1" outlineLevel="2" x14ac:dyDescent="0.2">
      <c r="B41" s="126"/>
      <c r="C41" s="274"/>
      <c r="D41" s="275"/>
      <c r="E41" s="275"/>
      <c r="F41" s="275"/>
      <c r="G41" s="276"/>
      <c r="H41" s="128"/>
      <c r="I41" s="131"/>
      <c r="J41" s="108"/>
      <c r="K41" s="108"/>
      <c r="L41" s="127"/>
    </row>
    <row r="42" spans="2:12" ht="14.25" hidden="1" outlineLevel="2" x14ac:dyDescent="0.2">
      <c r="B42" s="126"/>
      <c r="C42" s="108"/>
      <c r="D42" s="108"/>
      <c r="E42" s="108"/>
      <c r="F42" s="108"/>
      <c r="G42" s="108"/>
      <c r="H42" s="108"/>
      <c r="I42" s="108"/>
      <c r="J42" s="108"/>
      <c r="K42" s="108"/>
      <c r="L42" s="127"/>
    </row>
    <row r="43" spans="2:12" ht="12.75" x14ac:dyDescent="0.2">
      <c r="B43" s="6"/>
      <c r="C43" s="6"/>
      <c r="D43" s="98"/>
      <c r="E43" s="6"/>
      <c r="F43" s="98"/>
      <c r="G43" s="99"/>
      <c r="H43" s="98"/>
      <c r="I43" s="110"/>
      <c r="J43" s="110"/>
      <c r="K43" s="110"/>
      <c r="L43" s="6"/>
    </row>
    <row r="44" spans="2:12" ht="14.25" x14ac:dyDescent="0.2">
      <c r="B44" s="221" t="s">
        <v>360</v>
      </c>
      <c r="C44" s="165"/>
      <c r="D44" s="165"/>
      <c r="E44" s="165"/>
      <c r="H44" s="132"/>
      <c r="I44" s="175" t="s">
        <v>361</v>
      </c>
      <c r="J44" s="165"/>
      <c r="K44" s="165"/>
      <c r="L44" s="165"/>
    </row>
    <row r="45" spans="2:12" ht="12.75" x14ac:dyDescent="0.2">
      <c r="G45" s="49"/>
      <c r="H45" s="25"/>
      <c r="I45" s="41"/>
    </row>
    <row r="46" spans="2:12" ht="14.25" x14ac:dyDescent="0.2">
      <c r="B46" s="222" t="s">
        <v>80</v>
      </c>
      <c r="C46" s="165"/>
      <c r="D46" s="165"/>
      <c r="E46" s="165"/>
      <c r="F46" s="165"/>
      <c r="G46" s="165"/>
      <c r="H46" s="165"/>
      <c r="I46" s="165"/>
      <c r="J46" s="165"/>
      <c r="K46" s="165"/>
      <c r="L46" s="165"/>
    </row>
    <row r="47" spans="2:12" ht="14.25" x14ac:dyDescent="0.2">
      <c r="B47" s="222" t="s">
        <v>113</v>
      </c>
      <c r="C47" s="165"/>
      <c r="D47" s="165"/>
      <c r="E47" s="165"/>
      <c r="F47" s="165"/>
      <c r="G47" s="165"/>
      <c r="H47" s="165"/>
      <c r="I47" s="165"/>
      <c r="J47" s="165"/>
      <c r="K47" s="165"/>
      <c r="L47" s="165"/>
    </row>
    <row r="48" spans="2:12" ht="14.25" x14ac:dyDescent="0.2">
      <c r="B48" s="133"/>
      <c r="C48" s="133"/>
      <c r="D48" s="133"/>
      <c r="E48" s="133"/>
      <c r="F48" s="133"/>
      <c r="G48" s="133"/>
      <c r="H48" s="133"/>
      <c r="I48" s="133"/>
      <c r="J48" s="133"/>
      <c r="K48" s="133"/>
      <c r="L48" s="133"/>
    </row>
    <row r="49" spans="2:12" ht="14.25" x14ac:dyDescent="0.2">
      <c r="B49" s="133"/>
      <c r="C49" s="133"/>
      <c r="D49" s="133"/>
      <c r="E49" s="133"/>
      <c r="F49" s="133"/>
      <c r="G49" s="133"/>
      <c r="H49" s="133"/>
      <c r="I49" s="133"/>
      <c r="J49" s="133"/>
      <c r="K49" s="133"/>
      <c r="L49" s="133"/>
    </row>
    <row r="50" spans="2:12" ht="14.25" x14ac:dyDescent="0.2">
      <c r="B50" s="133"/>
      <c r="C50" s="133"/>
      <c r="D50" s="133"/>
      <c r="E50" s="133"/>
      <c r="F50" s="133"/>
      <c r="G50" s="133"/>
      <c r="H50" s="133"/>
      <c r="I50" s="133"/>
      <c r="J50" s="133"/>
      <c r="K50" s="133"/>
      <c r="L50" s="133"/>
    </row>
    <row r="51" spans="2:12" ht="14.25" x14ac:dyDescent="0.2">
      <c r="B51" s="133"/>
      <c r="C51" s="133"/>
      <c r="D51" s="133"/>
      <c r="E51" s="133"/>
      <c r="F51" s="133"/>
      <c r="G51" s="133"/>
      <c r="H51" s="133"/>
      <c r="I51" s="133"/>
      <c r="J51" s="133"/>
      <c r="K51" s="133"/>
      <c r="L51" s="133"/>
    </row>
  </sheetData>
  <mergeCells count="50">
    <mergeCell ref="B33:L33"/>
    <mergeCell ref="C35:E35"/>
    <mergeCell ref="C28:L28"/>
    <mergeCell ref="C29:L29"/>
    <mergeCell ref="B30:L30"/>
    <mergeCell ref="C31:L31"/>
    <mergeCell ref="C32:L32"/>
    <mergeCell ref="C36:G41"/>
    <mergeCell ref="B44:E44"/>
    <mergeCell ref="I44:L44"/>
    <mergeCell ref="B46:L46"/>
    <mergeCell ref="B47:L47"/>
    <mergeCell ref="B9:L9"/>
    <mergeCell ref="K13:K14"/>
    <mergeCell ref="I19:I20"/>
    <mergeCell ref="K19:K20"/>
    <mergeCell ref="C13:C23"/>
    <mergeCell ref="D16:D17"/>
    <mergeCell ref="D19:D20"/>
    <mergeCell ref="E19:E20"/>
    <mergeCell ref="F19:F20"/>
    <mergeCell ref="G19:G20"/>
    <mergeCell ref="H19:H20"/>
    <mergeCell ref="H22:H23"/>
    <mergeCell ref="B1:I1"/>
    <mergeCell ref="B3:C3"/>
    <mergeCell ref="B6:E6"/>
    <mergeCell ref="I6:L6"/>
    <mergeCell ref="B7:L7"/>
    <mergeCell ref="K22:K23"/>
    <mergeCell ref="C25:L25"/>
    <mergeCell ref="B26:L26"/>
    <mergeCell ref="C27:L27"/>
    <mergeCell ref="D13:D14"/>
    <mergeCell ref="E13:E14"/>
    <mergeCell ref="E16:E17"/>
    <mergeCell ref="F16:F17"/>
    <mergeCell ref="G16:G17"/>
    <mergeCell ref="H16:H17"/>
    <mergeCell ref="I16:I17"/>
    <mergeCell ref="K16:K17"/>
    <mergeCell ref="F13:F14"/>
    <mergeCell ref="G13:G14"/>
    <mergeCell ref="H13:H14"/>
    <mergeCell ref="I13:I14"/>
    <mergeCell ref="D22:D23"/>
    <mergeCell ref="E22:E23"/>
    <mergeCell ref="F22:F23"/>
    <mergeCell ref="G22:G23"/>
    <mergeCell ref="I22:I23"/>
  </mergeCells>
  <conditionalFormatting sqref="I13:I14">
    <cfRule type="expression" dxfId="8" priority="1">
      <formula>K13="B"</formula>
    </cfRule>
  </conditionalFormatting>
  <conditionalFormatting sqref="I16:I17">
    <cfRule type="expression" dxfId="7" priority="2">
      <formula>K16="A"</formula>
    </cfRule>
    <cfRule type="expression" dxfId="6" priority="5">
      <formula>K16="D"</formula>
    </cfRule>
  </conditionalFormatting>
  <conditionalFormatting sqref="I19:I20">
    <cfRule type="expression" dxfId="5" priority="3">
      <formula>K19="C"</formula>
    </cfRule>
  </conditionalFormatting>
  <conditionalFormatting sqref="I22:I23">
    <cfRule type="expression" dxfId="4" priority="4">
      <formula>K22="D"</formula>
    </cfRule>
  </conditionalFormatting>
  <hyperlinks>
    <hyperlink ref="C4" location="C7Exercise1" display="Exercise 7.1 - Email Formatting via Examples" xr:uid="{00000000-0004-0000-1000-000000000000}"/>
    <hyperlink ref="I6" location="C7ExerciseTitle" display="Back to top ↑" xr:uid="{00000000-0004-0000-1000-000001000000}"/>
    <hyperlink ref="B44" location="C7LessonTitle" display="← Chapter 7: Using Examples (Few-Shot Prompting)" xr:uid="{00000000-0004-0000-1000-000002000000}"/>
    <hyperlink ref="I44" location="C8LessonTitle" display="Chapter 8: Avoiding Hallucinations →" xr:uid="{00000000-0004-0000-1000-000003000000}"/>
    <hyperlink ref="B46" location="C7ExerciseTitle" display="Back to top ↑" xr:uid="{00000000-0004-0000-1000-000004000000}"/>
    <hyperlink ref="B47" location="IntroTitle" display="Table of Contents" xr:uid="{00000000-0004-0000-1000-000005000000}"/>
  </hyperlinks>
  <pageMargins left="0.7" right="0.7" top="0.75" bottom="0.75" header="0.3" footer="0.3"/>
  <pageSetup paperSize="9" scale="50"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9900"/>
    <outlinePr summaryBelow="0" summaryRight="0"/>
    <pageSetUpPr fitToPage="1"/>
  </sheetPr>
  <dimension ref="A1:G67"/>
  <sheetViews>
    <sheetView showGridLines="0" workbookViewId="0"/>
  </sheetViews>
  <sheetFormatPr defaultColWidth="12.5703125" defaultRowHeight="15.75" customHeight="1" x14ac:dyDescent="0.2"/>
  <cols>
    <col min="1" max="1" width="5.42578125" customWidth="1"/>
    <col min="2" max="2" width="3" customWidth="1"/>
    <col min="3" max="3" width="54.42578125" customWidth="1"/>
    <col min="4" max="4" width="4" customWidth="1"/>
    <col min="5" max="5" width="55.7109375" customWidth="1"/>
    <col min="6" max="6" width="3" customWidth="1"/>
    <col min="7" max="7" width="5.42578125" customWidth="1"/>
  </cols>
  <sheetData>
    <row r="1" spans="1:7" ht="32.25" customHeight="1" x14ac:dyDescent="0.4">
      <c r="A1" s="1"/>
      <c r="B1" s="164" t="s">
        <v>63</v>
      </c>
      <c r="C1" s="165"/>
      <c r="D1" s="165"/>
      <c r="E1" s="165"/>
      <c r="F1" s="3"/>
      <c r="G1" s="3"/>
    </row>
    <row r="2" spans="1:7" ht="21.75" customHeight="1" x14ac:dyDescent="0.2"/>
    <row r="3" spans="1:7" ht="21.75" customHeight="1" x14ac:dyDescent="0.3">
      <c r="A3" s="16"/>
      <c r="B3" s="194" t="s">
        <v>76</v>
      </c>
      <c r="C3" s="165"/>
    </row>
    <row r="4" spans="1:7" ht="15.75" customHeight="1" x14ac:dyDescent="0.2">
      <c r="A4" s="16"/>
      <c r="C4" s="40" t="s">
        <v>53</v>
      </c>
    </row>
    <row r="5" spans="1:7" ht="15.75" customHeight="1" x14ac:dyDescent="0.2">
      <c r="A5" s="16"/>
      <c r="C5" s="40" t="s">
        <v>77</v>
      </c>
    </row>
    <row r="6" spans="1:7" ht="15.75" customHeight="1" x14ac:dyDescent="0.2">
      <c r="A6" s="16" t="s">
        <v>78</v>
      </c>
      <c r="C6" s="40" t="s">
        <v>79</v>
      </c>
    </row>
    <row r="7" spans="1:7" ht="33.75" customHeight="1" x14ac:dyDescent="0.2"/>
    <row r="8" spans="1:7" ht="29.25" customHeight="1" x14ac:dyDescent="0.2">
      <c r="A8" s="41"/>
      <c r="B8" s="195" t="s">
        <v>53</v>
      </c>
      <c r="C8" s="196"/>
      <c r="D8" s="196"/>
      <c r="E8" s="197" t="s">
        <v>80</v>
      </c>
      <c r="F8" s="198"/>
      <c r="G8" s="41"/>
    </row>
    <row r="9" spans="1:7" ht="12.75" x14ac:dyDescent="0.2">
      <c r="B9" s="303" t="s">
        <v>362</v>
      </c>
      <c r="C9" s="165"/>
      <c r="D9" s="165"/>
      <c r="E9" s="165"/>
      <c r="F9" s="170"/>
    </row>
    <row r="10" spans="1:7" ht="11.25" customHeight="1" x14ac:dyDescent="0.2">
      <c r="B10" s="135"/>
      <c r="C10" s="136"/>
      <c r="D10" s="136"/>
      <c r="E10" s="136"/>
      <c r="F10" s="137"/>
    </row>
    <row r="11" spans="1:7" ht="14.25" x14ac:dyDescent="0.2">
      <c r="B11" s="304" t="s">
        <v>363</v>
      </c>
      <c r="C11" s="165"/>
      <c r="D11" s="165"/>
      <c r="E11" s="165"/>
      <c r="F11" s="170"/>
    </row>
    <row r="12" spans="1:7" ht="16.5" customHeight="1" x14ac:dyDescent="0.2">
      <c r="B12" s="138" t="s">
        <v>364</v>
      </c>
      <c r="C12" s="305" t="s">
        <v>365</v>
      </c>
      <c r="D12" s="165"/>
      <c r="E12" s="165"/>
      <c r="F12" s="170"/>
    </row>
    <row r="13" spans="1:7" ht="16.5" customHeight="1" x14ac:dyDescent="0.2">
      <c r="B13" s="138" t="s">
        <v>364</v>
      </c>
      <c r="C13" s="305" t="s">
        <v>366</v>
      </c>
      <c r="D13" s="165"/>
      <c r="E13" s="165"/>
      <c r="F13" s="170"/>
    </row>
    <row r="14" spans="1:7" ht="12.75" x14ac:dyDescent="0.2">
      <c r="B14" s="306" t="s">
        <v>367</v>
      </c>
      <c r="C14" s="188"/>
      <c r="D14" s="188"/>
      <c r="E14" s="188"/>
      <c r="F14" s="189"/>
    </row>
    <row r="15" spans="1:7" ht="33.75" customHeight="1" x14ac:dyDescent="0.2"/>
    <row r="16" spans="1:7" ht="29.25" customHeight="1" x14ac:dyDescent="0.2">
      <c r="B16" s="195" t="s">
        <v>77</v>
      </c>
      <c r="C16" s="196"/>
      <c r="D16" s="196"/>
      <c r="E16" s="197" t="s">
        <v>80</v>
      </c>
      <c r="F16" s="198"/>
    </row>
    <row r="17" spans="1:7" ht="12.75" x14ac:dyDescent="0.2">
      <c r="B17" s="200" t="s">
        <v>368</v>
      </c>
      <c r="C17" s="165"/>
      <c r="D17" s="165"/>
      <c r="E17" s="165"/>
      <c r="F17" s="170"/>
    </row>
    <row r="18" spans="1:7" ht="8.25" customHeight="1" x14ac:dyDescent="0.2">
      <c r="B18" s="15"/>
      <c r="F18" s="17"/>
    </row>
    <row r="19" spans="1:7" ht="12.75" x14ac:dyDescent="0.2">
      <c r="B19" s="15"/>
      <c r="C19" s="18" t="s">
        <v>90</v>
      </c>
      <c r="E19" s="18" t="s">
        <v>91</v>
      </c>
      <c r="F19" s="17"/>
    </row>
    <row r="20" spans="1:7" ht="132.75" customHeight="1" x14ac:dyDescent="0.2">
      <c r="B20" s="15"/>
      <c r="C20" s="54" t="s">
        <v>369</v>
      </c>
      <c r="D20" s="47" t="s">
        <v>93</v>
      </c>
      <c r="E20" s="54" t="e">
        <f ca="1">claudeMessages(C20, 'Tutorial How-To'!$E$37,"temperature",0)</f>
        <v>#NAME?</v>
      </c>
      <c r="F20" s="17"/>
    </row>
    <row r="21" spans="1:7" ht="22.5" customHeight="1" x14ac:dyDescent="0.2">
      <c r="B21" s="15"/>
      <c r="F21" s="17"/>
    </row>
    <row r="22" spans="1:7" ht="12.75" x14ac:dyDescent="0.2">
      <c r="B22" s="200" t="s">
        <v>370</v>
      </c>
      <c r="C22" s="165"/>
      <c r="D22" s="165"/>
      <c r="E22" s="165"/>
      <c r="F22" s="170"/>
    </row>
    <row r="23" spans="1:7" ht="8.25" customHeight="1" x14ac:dyDescent="0.2">
      <c r="B23" s="15"/>
      <c r="F23" s="17"/>
    </row>
    <row r="24" spans="1:7" ht="12.75" x14ac:dyDescent="0.2">
      <c r="B24" s="15"/>
      <c r="C24" s="18" t="s">
        <v>90</v>
      </c>
      <c r="E24" s="18" t="s">
        <v>91</v>
      </c>
      <c r="F24" s="17"/>
    </row>
    <row r="25" spans="1:7" ht="77.25" customHeight="1" x14ac:dyDescent="0.2">
      <c r="A25" s="49"/>
      <c r="B25" s="50"/>
      <c r="C25" s="46" t="s">
        <v>371</v>
      </c>
      <c r="D25" s="52" t="s">
        <v>93</v>
      </c>
      <c r="E25" s="48" t="e">
        <f ca="1">claudeMessages(C25, 'Tutorial How-To'!$E$37,"temperature",0)</f>
        <v>#NAME?</v>
      </c>
      <c r="F25" s="53"/>
      <c r="G25" s="49"/>
    </row>
    <row r="26" spans="1:7" ht="22.5" customHeight="1" x14ac:dyDescent="0.2">
      <c r="B26" s="15"/>
      <c r="F26" s="17"/>
    </row>
    <row r="27" spans="1:7" ht="13.5" x14ac:dyDescent="0.25">
      <c r="B27" s="200" t="s">
        <v>372</v>
      </c>
      <c r="C27" s="165"/>
      <c r="D27" s="165"/>
      <c r="E27" s="165"/>
      <c r="F27" s="170"/>
    </row>
    <row r="28" spans="1:7" ht="8.25" customHeight="1" x14ac:dyDescent="0.2">
      <c r="B28" s="15"/>
      <c r="F28" s="17"/>
    </row>
    <row r="29" spans="1:7" ht="12.75" x14ac:dyDescent="0.2">
      <c r="B29" s="15"/>
      <c r="C29" s="18" t="s">
        <v>90</v>
      </c>
      <c r="E29" s="18" t="s">
        <v>91</v>
      </c>
      <c r="F29" s="17"/>
    </row>
    <row r="30" spans="1:7" ht="69" customHeight="1" x14ac:dyDescent="0.2">
      <c r="B30" s="15"/>
      <c r="C30" s="210" t="s">
        <v>373</v>
      </c>
      <c r="D30" s="211" t="s">
        <v>93</v>
      </c>
      <c r="E30" s="210" t="e">
        <f ca="1">claudeMessages(C30, 'Tutorial How-To'!$E$37,"temperature",0)</f>
        <v>#NAME?</v>
      </c>
      <c r="F30" s="17"/>
    </row>
    <row r="31" spans="1:7" ht="69" customHeight="1" x14ac:dyDescent="0.2">
      <c r="B31" s="15"/>
      <c r="C31" s="206"/>
      <c r="D31" s="165"/>
      <c r="E31" s="206"/>
      <c r="F31" s="17"/>
    </row>
    <row r="32" spans="1:7" ht="69" customHeight="1" x14ac:dyDescent="0.2">
      <c r="B32" s="15"/>
      <c r="C32" s="207"/>
      <c r="D32" s="165"/>
      <c r="E32" s="207"/>
      <c r="F32" s="17"/>
    </row>
    <row r="33" spans="2:6" ht="22.5" customHeight="1" x14ac:dyDescent="0.2">
      <c r="B33" s="15"/>
      <c r="F33" s="17"/>
    </row>
    <row r="34" spans="2:6" ht="12.75" x14ac:dyDescent="0.2">
      <c r="B34" s="200" t="s">
        <v>374</v>
      </c>
      <c r="C34" s="165"/>
      <c r="D34" s="165"/>
      <c r="E34" s="165"/>
      <c r="F34" s="170"/>
    </row>
    <row r="35" spans="2:6" ht="8.25" customHeight="1" x14ac:dyDescent="0.2">
      <c r="B35" s="15"/>
      <c r="F35" s="17"/>
    </row>
    <row r="36" spans="2:6" ht="12.75" x14ac:dyDescent="0.2">
      <c r="B36" s="15"/>
      <c r="C36" s="18" t="s">
        <v>90</v>
      </c>
      <c r="E36" s="18" t="s">
        <v>91</v>
      </c>
      <c r="F36" s="17"/>
    </row>
    <row r="37" spans="2:6" ht="72.75" customHeight="1" x14ac:dyDescent="0.2">
      <c r="B37" s="15"/>
      <c r="C37" s="205" t="s">
        <v>375</v>
      </c>
      <c r="D37" s="211" t="s">
        <v>93</v>
      </c>
      <c r="E37" s="209" t="e">
        <f ca="1">claudeMessages(C37, 'Tutorial How-To'!$E$37,"temperature",0)</f>
        <v>#NAME?</v>
      </c>
      <c r="F37" s="17"/>
    </row>
    <row r="38" spans="2:6" ht="72.75" customHeight="1" x14ac:dyDescent="0.2">
      <c r="B38" s="15"/>
      <c r="C38" s="206"/>
      <c r="D38" s="165"/>
      <c r="E38" s="206"/>
      <c r="F38" s="17"/>
    </row>
    <row r="39" spans="2:6" ht="72.75" customHeight="1" x14ac:dyDescent="0.2">
      <c r="B39" s="15"/>
      <c r="C39" s="207"/>
      <c r="D39" s="165"/>
      <c r="E39" s="207"/>
      <c r="F39" s="17"/>
    </row>
    <row r="40" spans="2:6" ht="22.5" customHeight="1" x14ac:dyDescent="0.2">
      <c r="B40" s="15"/>
      <c r="F40" s="17"/>
    </row>
    <row r="41" spans="2:6" ht="12.75" x14ac:dyDescent="0.2">
      <c r="B41" s="307" t="s">
        <v>376</v>
      </c>
      <c r="C41" s="165"/>
      <c r="D41" s="165"/>
      <c r="E41" s="165"/>
      <c r="F41" s="170"/>
    </row>
    <row r="42" spans="2:6" ht="11.25" customHeight="1" x14ac:dyDescent="0.2">
      <c r="B42" s="15"/>
      <c r="F42" s="17"/>
    </row>
    <row r="43" spans="2:6" ht="12.75" x14ac:dyDescent="0.2">
      <c r="B43" s="220" t="s">
        <v>377</v>
      </c>
      <c r="C43" s="188"/>
      <c r="D43" s="188"/>
      <c r="E43" s="188"/>
      <c r="F43" s="189"/>
    </row>
    <row r="45" spans="2:6" ht="15.75" customHeight="1" x14ac:dyDescent="0.2">
      <c r="E45" s="175" t="s">
        <v>378</v>
      </c>
      <c r="F45" s="165"/>
    </row>
    <row r="46" spans="2:6" ht="33.75" customHeight="1" x14ac:dyDescent="0.2"/>
    <row r="47" spans="2:6" ht="29.25" customHeight="1" x14ac:dyDescent="0.2">
      <c r="B47" s="195" t="s">
        <v>79</v>
      </c>
      <c r="C47" s="196"/>
      <c r="D47" s="196"/>
      <c r="E47" s="197" t="s">
        <v>80</v>
      </c>
      <c r="F47" s="198"/>
    </row>
    <row r="48" spans="2:6" ht="12.75" x14ac:dyDescent="0.2">
      <c r="B48" s="200" t="s">
        <v>379</v>
      </c>
      <c r="C48" s="165"/>
      <c r="D48" s="165"/>
      <c r="E48" s="165"/>
      <c r="F48" s="170"/>
    </row>
    <row r="49" spans="1:7" ht="8.25" customHeight="1" x14ac:dyDescent="0.2">
      <c r="B49" s="15"/>
      <c r="F49" s="17"/>
    </row>
    <row r="50" spans="1:7" ht="12.75" x14ac:dyDescent="0.2">
      <c r="B50" s="15"/>
      <c r="C50" s="18" t="s">
        <v>90</v>
      </c>
      <c r="E50" s="18" t="s">
        <v>91</v>
      </c>
      <c r="F50" s="17"/>
    </row>
    <row r="51" spans="1:7" ht="132.75" customHeight="1" x14ac:dyDescent="0.2">
      <c r="B51" s="15"/>
      <c r="C51" s="54" t="s">
        <v>369</v>
      </c>
      <c r="D51" s="47" t="s">
        <v>93</v>
      </c>
      <c r="E51" s="54" t="e">
        <f ca="1">claudeMessages(C51, 'Tutorial How-To'!$E$37,"temperature",0)</f>
        <v>#NAME?</v>
      </c>
      <c r="F51" s="17"/>
    </row>
    <row r="52" spans="1:7" ht="8.25" customHeight="1" x14ac:dyDescent="0.2">
      <c r="B52" s="204"/>
      <c r="C52" s="165"/>
      <c r="D52" s="165"/>
      <c r="E52" s="165"/>
      <c r="F52" s="170"/>
    </row>
    <row r="53" spans="1:7" ht="77.25" customHeight="1" x14ac:dyDescent="0.2">
      <c r="A53" s="49"/>
      <c r="B53" s="50"/>
      <c r="C53" s="46" t="s">
        <v>371</v>
      </c>
      <c r="D53" s="52" t="s">
        <v>93</v>
      </c>
      <c r="E53" s="48" t="e">
        <f ca="1">claudeMessages(C53, 'Tutorial How-To'!$E$37,"temperature",0)</f>
        <v>#NAME?</v>
      </c>
      <c r="F53" s="53"/>
      <c r="G53" s="49"/>
    </row>
    <row r="54" spans="1:7" ht="8.25" customHeight="1" x14ac:dyDescent="0.2">
      <c r="B54" s="15"/>
      <c r="F54" s="17"/>
    </row>
    <row r="55" spans="1:7" ht="69" customHeight="1" x14ac:dyDescent="0.2">
      <c r="B55" s="15"/>
      <c r="C55" s="210" t="s">
        <v>380</v>
      </c>
      <c r="D55" s="211" t="s">
        <v>93</v>
      </c>
      <c r="E55" s="210" t="e">
        <f ca="1">claudeMessages(C55, 'Tutorial How-To'!$E$37,"temperature",0)</f>
        <v>#NAME?</v>
      </c>
      <c r="F55" s="17"/>
    </row>
    <row r="56" spans="1:7" ht="69" customHeight="1" x14ac:dyDescent="0.2">
      <c r="B56" s="15"/>
      <c r="C56" s="206"/>
      <c r="D56" s="165"/>
      <c r="E56" s="206"/>
      <c r="F56" s="17"/>
    </row>
    <row r="57" spans="1:7" ht="69" customHeight="1" x14ac:dyDescent="0.2">
      <c r="B57" s="15"/>
      <c r="C57" s="207"/>
      <c r="D57" s="165"/>
      <c r="E57" s="207"/>
      <c r="F57" s="17"/>
    </row>
    <row r="58" spans="1:7" ht="8.25" customHeight="1" x14ac:dyDescent="0.2">
      <c r="B58" s="15"/>
      <c r="F58" s="17"/>
    </row>
    <row r="59" spans="1:7" ht="72.75" customHeight="1" x14ac:dyDescent="0.2">
      <c r="B59" s="15"/>
      <c r="C59" s="205" t="s">
        <v>381</v>
      </c>
      <c r="D59" s="211" t="s">
        <v>93</v>
      </c>
      <c r="E59" s="209" t="e">
        <f ca="1">claudeMessages(C59, 'Tutorial How-To'!$E$37,"temperature",0)</f>
        <v>#NAME?</v>
      </c>
      <c r="F59" s="17"/>
    </row>
    <row r="60" spans="1:7" ht="72.75" customHeight="1" x14ac:dyDescent="0.2">
      <c r="B60" s="15"/>
      <c r="C60" s="206"/>
      <c r="D60" s="165"/>
      <c r="E60" s="206"/>
      <c r="F60" s="17"/>
    </row>
    <row r="61" spans="1:7" ht="72.75" customHeight="1" x14ac:dyDescent="0.2">
      <c r="B61" s="15"/>
      <c r="C61" s="207"/>
      <c r="D61" s="165"/>
      <c r="E61" s="207"/>
      <c r="F61" s="17"/>
    </row>
    <row r="62" spans="1:7" ht="12.75" x14ac:dyDescent="0.2">
      <c r="B62" s="61"/>
      <c r="C62" s="38"/>
      <c r="D62" s="38"/>
      <c r="E62" s="38"/>
      <c r="F62" s="39"/>
    </row>
    <row r="64" spans="1:7" ht="14.25" x14ac:dyDescent="0.2">
      <c r="B64" s="193" t="s">
        <v>382</v>
      </c>
      <c r="C64" s="165"/>
      <c r="D64" s="165"/>
      <c r="E64" s="175" t="s">
        <v>378</v>
      </c>
      <c r="F64" s="165"/>
    </row>
    <row r="65" spans="2:6" ht="8.25" customHeight="1" x14ac:dyDescent="0.2"/>
    <row r="66" spans="2:6" ht="14.25" x14ac:dyDescent="0.2">
      <c r="B66" s="222" t="s">
        <v>80</v>
      </c>
      <c r="C66" s="165"/>
      <c r="D66" s="165"/>
      <c r="E66" s="165"/>
      <c r="F66" s="165"/>
    </row>
    <row r="67" spans="2:6" ht="14.25" x14ac:dyDescent="0.2">
      <c r="B67" s="222" t="s">
        <v>113</v>
      </c>
      <c r="C67" s="165"/>
      <c r="D67" s="165"/>
      <c r="E67" s="165"/>
      <c r="F67" s="165"/>
    </row>
  </sheetData>
  <mergeCells count="38">
    <mergeCell ref="B52:F52"/>
    <mergeCell ref="B64:D64"/>
    <mergeCell ref="B66:F66"/>
    <mergeCell ref="B67:F67"/>
    <mergeCell ref="C55:C57"/>
    <mergeCell ref="D55:D57"/>
    <mergeCell ref="E55:E57"/>
    <mergeCell ref="C59:C61"/>
    <mergeCell ref="D59:D61"/>
    <mergeCell ref="E59:E61"/>
    <mergeCell ref="E64:F64"/>
    <mergeCell ref="B43:F43"/>
    <mergeCell ref="E45:F45"/>
    <mergeCell ref="B47:D47"/>
    <mergeCell ref="E47:F47"/>
    <mergeCell ref="B48:F48"/>
    <mergeCell ref="B34:F34"/>
    <mergeCell ref="C37:C39"/>
    <mergeCell ref="D37:D39"/>
    <mergeCell ref="E37:E39"/>
    <mergeCell ref="B41:F41"/>
    <mergeCell ref="B17:F17"/>
    <mergeCell ref="B22:F22"/>
    <mergeCell ref="B27:F27"/>
    <mergeCell ref="C30:C32"/>
    <mergeCell ref="D30:D32"/>
    <mergeCell ref="E30:E32"/>
    <mergeCell ref="B11:F11"/>
    <mergeCell ref="C12:F12"/>
    <mergeCell ref="C13:F13"/>
    <mergeCell ref="B14:F14"/>
    <mergeCell ref="B16:D16"/>
    <mergeCell ref="E16:F16"/>
    <mergeCell ref="B1:E1"/>
    <mergeCell ref="B3:C3"/>
    <mergeCell ref="B8:D8"/>
    <mergeCell ref="E8:F8"/>
    <mergeCell ref="B9:F9"/>
  </mergeCells>
  <hyperlinks>
    <hyperlink ref="C4" location="C8Lesson" display="Lesson" xr:uid="{00000000-0004-0000-1100-000000000000}"/>
    <hyperlink ref="C5" location="C8Examples" display="Examples" xr:uid="{00000000-0004-0000-1100-000001000000}"/>
    <hyperlink ref="C6" location="C8ExamplePlayground" display="Example Playground" xr:uid="{00000000-0004-0000-1100-000002000000}"/>
    <hyperlink ref="E8" location="C8LessonTitle" display="Back to top ↑" xr:uid="{00000000-0004-0000-1100-000003000000}"/>
    <hyperlink ref="B14" r:id="rId1" xr:uid="{00000000-0004-0000-1100-000004000000}"/>
    <hyperlink ref="E16" location="C8LessonTitle" display="Back to top ↑" xr:uid="{00000000-0004-0000-1100-000005000000}"/>
    <hyperlink ref="B41" r:id="rId2" xr:uid="{00000000-0004-0000-1100-000006000000}"/>
    <hyperlink ref="E45" location="C8ExerciseTitle" display="Chapter 8 Exercises: Avoiding Hallucinations →" xr:uid="{00000000-0004-0000-1100-000007000000}"/>
    <hyperlink ref="E47" location="C8LessonTitle" display="Back to top ↑" xr:uid="{00000000-0004-0000-1100-000008000000}"/>
    <hyperlink ref="B64" location="C7ExerciseTitle" display="← Chapter 7 Exercises: Using Examples (Few-Shot Prompting)" xr:uid="{00000000-0004-0000-1100-000009000000}"/>
    <hyperlink ref="E64" location="C8ExerciseTitle" display="Chapter 8 Exercises: Avoiding Hallucinations →" xr:uid="{00000000-0004-0000-1100-00000A000000}"/>
    <hyperlink ref="B66" location="C8LessonTitle" display="Back to top ↑" xr:uid="{00000000-0004-0000-1100-00000B000000}"/>
    <hyperlink ref="B67" location="IntroTitle" display="Table of Contents" xr:uid="{00000000-0004-0000-1100-00000C000000}"/>
  </hyperlinks>
  <pageMargins left="0.7" right="0.7" top="0.75" bottom="0.75" header="0.3" footer="0.3"/>
  <pageSetup paperSize="9" scale="68" fitToHeight="0" orientation="portrait" r:id="rId3"/>
  <drawing r:id="rId4"/>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9900"/>
    <outlinePr summaryBelow="0" summaryRight="0"/>
    <pageSetUpPr fitToPage="1"/>
  </sheetPr>
  <dimension ref="A1:G33"/>
  <sheetViews>
    <sheetView showGridLines="0" workbookViewId="0"/>
  </sheetViews>
  <sheetFormatPr defaultColWidth="12.5703125" defaultRowHeight="15.75" customHeight="1" outlineLevelRow="1" x14ac:dyDescent="0.2"/>
  <cols>
    <col min="1" max="1" width="5.42578125" customWidth="1"/>
    <col min="2" max="2" width="3" customWidth="1"/>
    <col min="3" max="3" width="50.42578125" customWidth="1"/>
    <col min="4" max="4" width="4" customWidth="1"/>
    <col min="5" max="5" width="55.7109375" customWidth="1"/>
    <col min="6" max="6" width="3" customWidth="1"/>
    <col min="7" max="7" width="5.42578125" customWidth="1"/>
  </cols>
  <sheetData>
    <row r="1" spans="1:7" ht="32.25" customHeight="1" x14ac:dyDescent="0.4">
      <c r="A1" s="1"/>
      <c r="B1" s="164" t="s">
        <v>383</v>
      </c>
      <c r="C1" s="165"/>
      <c r="D1" s="165"/>
      <c r="E1" s="165"/>
      <c r="F1" s="3"/>
      <c r="G1" s="3"/>
    </row>
    <row r="2" spans="1:7" ht="21.75" customHeight="1" x14ac:dyDescent="0.2"/>
    <row r="3" spans="1:7" ht="21.75" customHeight="1" x14ac:dyDescent="0.3">
      <c r="A3" s="16"/>
      <c r="B3" s="194" t="s">
        <v>76</v>
      </c>
      <c r="C3" s="165"/>
    </row>
    <row r="4" spans="1:7" ht="15.75" customHeight="1" x14ac:dyDescent="0.2">
      <c r="A4" s="16"/>
      <c r="C4" s="40" t="s">
        <v>384</v>
      </c>
    </row>
    <row r="5" spans="1:7" ht="15.75" customHeight="1" x14ac:dyDescent="0.2">
      <c r="A5" s="16"/>
      <c r="C5" s="40" t="s">
        <v>385</v>
      </c>
    </row>
    <row r="6" spans="1:7" ht="33.75" customHeight="1" x14ac:dyDescent="0.2"/>
    <row r="7" spans="1:7" ht="29.25" customHeight="1" x14ac:dyDescent="0.2">
      <c r="A7" s="41"/>
      <c r="B7" s="195" t="s">
        <v>384</v>
      </c>
      <c r="C7" s="196"/>
      <c r="D7" s="196"/>
      <c r="E7" s="197" t="s">
        <v>80</v>
      </c>
      <c r="F7" s="198"/>
      <c r="G7" s="41"/>
    </row>
    <row r="8" spans="1:7" ht="12.75" x14ac:dyDescent="0.2">
      <c r="B8" s="284" t="s">
        <v>386</v>
      </c>
      <c r="C8" s="165"/>
      <c r="D8" s="165"/>
      <c r="E8" s="165"/>
      <c r="F8" s="170"/>
    </row>
    <row r="9" spans="1:7" ht="8.25" customHeight="1" x14ac:dyDescent="0.2">
      <c r="B9" s="15"/>
      <c r="F9" s="17"/>
    </row>
    <row r="10" spans="1:7" ht="15.75" customHeight="1" x14ac:dyDescent="0.2">
      <c r="B10" s="15"/>
      <c r="C10" s="18" t="s">
        <v>90</v>
      </c>
      <c r="E10" s="18" t="s">
        <v>91</v>
      </c>
      <c r="F10" s="17"/>
    </row>
    <row r="11" spans="1:7" ht="70.5" customHeight="1" x14ac:dyDescent="0.2">
      <c r="B11" s="15"/>
      <c r="C11" s="251" t="s">
        <v>387</v>
      </c>
      <c r="D11" s="208" t="s">
        <v>93</v>
      </c>
      <c r="E11" s="210" t="e">
        <f ca="1">claudeMessages(C11, 'Tutorial How-To'!$E$37,"temperature",0)</f>
        <v>#NAME?</v>
      </c>
      <c r="F11" s="17"/>
    </row>
    <row r="12" spans="1:7" ht="70.5" customHeight="1" x14ac:dyDescent="0.2">
      <c r="B12" s="15"/>
      <c r="C12" s="252"/>
      <c r="D12" s="165"/>
      <c r="E12" s="206"/>
      <c r="F12" s="17"/>
    </row>
    <row r="13" spans="1:7" ht="116.25" customHeight="1" x14ac:dyDescent="0.2">
      <c r="B13" s="15"/>
      <c r="C13" s="253"/>
      <c r="D13" s="165"/>
      <c r="E13" s="207"/>
      <c r="F13" s="17"/>
    </row>
    <row r="14" spans="1:7" ht="15.75" customHeight="1" x14ac:dyDescent="0.2">
      <c r="B14" s="15"/>
      <c r="F14" s="17"/>
    </row>
    <row r="15" spans="1:7" ht="14.25" collapsed="1" x14ac:dyDescent="0.2">
      <c r="B15" s="65" t="s">
        <v>120</v>
      </c>
      <c r="C15" s="224" t="s">
        <v>121</v>
      </c>
      <c r="D15" s="165"/>
      <c r="E15" s="165"/>
      <c r="F15" s="170"/>
    </row>
    <row r="16" spans="1:7" ht="12.75" hidden="1" outlineLevel="1" x14ac:dyDescent="0.2">
      <c r="B16" s="227" t="s">
        <v>388</v>
      </c>
      <c r="C16" s="165"/>
      <c r="D16" s="165"/>
      <c r="E16" s="165"/>
      <c r="F16" s="170"/>
    </row>
    <row r="17" spans="1:7" ht="33.75" customHeight="1" x14ac:dyDescent="0.2">
      <c r="B17" s="6"/>
      <c r="C17" s="6"/>
      <c r="D17" s="6"/>
      <c r="E17" s="6"/>
      <c r="F17" s="6"/>
    </row>
    <row r="18" spans="1:7" ht="29.25" customHeight="1" x14ac:dyDescent="0.2">
      <c r="A18" s="41"/>
      <c r="B18" s="195" t="s">
        <v>385</v>
      </c>
      <c r="C18" s="196"/>
      <c r="D18" s="196"/>
      <c r="E18" s="197" t="s">
        <v>80</v>
      </c>
      <c r="F18" s="198"/>
      <c r="G18" s="41"/>
    </row>
    <row r="19" spans="1:7" ht="12.75" x14ac:dyDescent="0.2">
      <c r="B19" s="200" t="s">
        <v>389</v>
      </c>
      <c r="C19" s="165"/>
      <c r="D19" s="165"/>
      <c r="E19" s="165"/>
      <c r="F19" s="170"/>
    </row>
    <row r="20" spans="1:7" ht="8.25" customHeight="1" x14ac:dyDescent="0.2">
      <c r="B20" s="15"/>
      <c r="F20" s="17"/>
    </row>
    <row r="21" spans="1:7" ht="15.75" customHeight="1" x14ac:dyDescent="0.2">
      <c r="B21" s="15"/>
      <c r="C21" s="18" t="s">
        <v>90</v>
      </c>
      <c r="E21" s="18" t="s">
        <v>91</v>
      </c>
      <c r="F21" s="17"/>
    </row>
    <row r="22" spans="1:7" ht="72.75" customHeight="1" x14ac:dyDescent="0.2">
      <c r="B22" s="15"/>
      <c r="C22" s="251" t="s">
        <v>390</v>
      </c>
      <c r="D22" s="208" t="s">
        <v>93</v>
      </c>
      <c r="E22" s="210" t="e">
        <f ca="1">claudeMessages(C22, 'Tutorial How-To'!$E$37,"temperature",0)</f>
        <v>#NAME?</v>
      </c>
      <c r="F22" s="17"/>
    </row>
    <row r="23" spans="1:7" ht="72.75" customHeight="1" x14ac:dyDescent="0.2">
      <c r="B23" s="15"/>
      <c r="C23" s="252"/>
      <c r="D23" s="165"/>
      <c r="E23" s="206"/>
      <c r="F23" s="17"/>
    </row>
    <row r="24" spans="1:7" ht="72.75" customHeight="1" x14ac:dyDescent="0.2">
      <c r="B24" s="15"/>
      <c r="C24" s="252"/>
      <c r="D24" s="165"/>
      <c r="E24" s="206"/>
      <c r="F24" s="17"/>
    </row>
    <row r="25" spans="1:7" ht="72.75" customHeight="1" x14ac:dyDescent="0.2">
      <c r="B25" s="15"/>
      <c r="C25" s="253"/>
      <c r="D25" s="165"/>
      <c r="E25" s="207"/>
      <c r="F25" s="17"/>
    </row>
    <row r="26" spans="1:7" ht="15.75" customHeight="1" x14ac:dyDescent="0.2">
      <c r="B26" s="15"/>
      <c r="F26" s="17"/>
    </row>
    <row r="27" spans="1:7" ht="14.25" collapsed="1" x14ac:dyDescent="0.2">
      <c r="B27" s="65" t="s">
        <v>120</v>
      </c>
      <c r="C27" s="224" t="s">
        <v>121</v>
      </c>
      <c r="D27" s="165"/>
      <c r="E27" s="165"/>
      <c r="F27" s="170"/>
    </row>
    <row r="28" spans="1:7" ht="12.75" hidden="1" outlineLevel="1" x14ac:dyDescent="0.2">
      <c r="B28" s="227" t="s">
        <v>391</v>
      </c>
      <c r="C28" s="165"/>
      <c r="D28" s="165"/>
      <c r="E28" s="165"/>
      <c r="F28" s="170"/>
    </row>
    <row r="29" spans="1:7" ht="12.75" x14ac:dyDescent="0.2">
      <c r="B29" s="6"/>
      <c r="C29" s="6"/>
      <c r="D29" s="6"/>
      <c r="E29" s="6"/>
      <c r="F29" s="6"/>
    </row>
    <row r="30" spans="1:7" ht="14.25" x14ac:dyDescent="0.2">
      <c r="B30" s="221" t="s">
        <v>392</v>
      </c>
      <c r="C30" s="165"/>
      <c r="D30" s="165"/>
      <c r="E30" s="175" t="s">
        <v>393</v>
      </c>
      <c r="F30" s="165"/>
    </row>
    <row r="31" spans="1:7" ht="8.25" customHeight="1" x14ac:dyDescent="0.2"/>
    <row r="32" spans="1:7" ht="14.25" x14ac:dyDescent="0.2">
      <c r="B32" s="222" t="s">
        <v>80</v>
      </c>
      <c r="C32" s="165"/>
      <c r="D32" s="165"/>
      <c r="E32" s="165"/>
      <c r="F32" s="165"/>
    </row>
    <row r="33" spans="2:6" ht="14.25" x14ac:dyDescent="0.2">
      <c r="B33" s="222" t="s">
        <v>113</v>
      </c>
      <c r="C33" s="165"/>
      <c r="D33" s="165"/>
      <c r="E33" s="165"/>
      <c r="F33" s="165"/>
    </row>
  </sheetData>
  <mergeCells count="22">
    <mergeCell ref="B28:F28"/>
    <mergeCell ref="B30:D30"/>
    <mergeCell ref="E30:F30"/>
    <mergeCell ref="B32:F32"/>
    <mergeCell ref="B33:F33"/>
    <mergeCell ref="C11:C13"/>
    <mergeCell ref="D11:D13"/>
    <mergeCell ref="D22:D25"/>
    <mergeCell ref="E22:E25"/>
    <mergeCell ref="C27:F27"/>
    <mergeCell ref="E11:E13"/>
    <mergeCell ref="C15:F15"/>
    <mergeCell ref="B16:F16"/>
    <mergeCell ref="B18:D18"/>
    <mergeCell ref="E18:F18"/>
    <mergeCell ref="B19:F19"/>
    <mergeCell ref="C22:C25"/>
    <mergeCell ref="B1:E1"/>
    <mergeCell ref="B3:C3"/>
    <mergeCell ref="B7:D7"/>
    <mergeCell ref="E7:F7"/>
    <mergeCell ref="B8:F8"/>
  </mergeCells>
  <conditionalFormatting sqref="E11:E13">
    <cfRule type="expression" dxfId="3" priority="1">
      <formula>OR(ISNUMBER(SEARCH("Unfortunately",E11)),ISNUMBER(SEARCH("I do not",E11)),ISNUMBER(SEARCH("I don't",E11)))</formula>
    </cfRule>
    <cfRule type="notContainsText" dxfId="2" priority="2" operator="notContains" text="2022">
      <formula>ISERROR(SEARCH(("2022"),(E11)))</formula>
    </cfRule>
  </conditionalFormatting>
  <conditionalFormatting sqref="E22:E25">
    <cfRule type="containsText" dxfId="1" priority="3" operator="containsText" text="49-fold">
      <formula>NOT(ISERROR(SEARCH(("49-fold"),(E22))))</formula>
    </cfRule>
  </conditionalFormatting>
  <hyperlinks>
    <hyperlink ref="C4" location="C8Exercise1" display="Exercise 8.1 - Beyoncé Hallucination" xr:uid="{00000000-0004-0000-1200-000000000000}"/>
    <hyperlink ref="C5" location="C8Exercise2" display="Exercise 8.2 - Prospectus Hallucination" xr:uid="{00000000-0004-0000-1200-000001000000}"/>
    <hyperlink ref="E7" location="C8ExerciseTitle" display="Back to top ↑" xr:uid="{00000000-0004-0000-1200-000002000000}"/>
    <hyperlink ref="E18" location="C8ExerciseTitle" display="Back to top ↑" xr:uid="{00000000-0004-0000-1200-000003000000}"/>
    <hyperlink ref="B30" location="C8LessonTitle" display="← Chapter 8: Avoiding Hallucinations" xr:uid="{00000000-0004-0000-1200-000004000000}"/>
    <hyperlink ref="E30" location="C9TemplateTitle" display="Chapter 9: Complex Prompts from Scratch - Chatbot →" xr:uid="{00000000-0004-0000-1200-000005000000}"/>
    <hyperlink ref="B32" location="C8ExerciseTitle" display="Back to top ↑" xr:uid="{00000000-0004-0000-1200-000006000000}"/>
    <hyperlink ref="B33" location="IntroTitle" display="Table of Contents" xr:uid="{00000000-0004-0000-1200-000007000000}"/>
  </hyperlinks>
  <pageMargins left="0.7" right="0.7" top="0.75" bottom="0.75" header="0.3" footer="0.3"/>
  <pageSetup paperSize="9" scale="70"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9900"/>
    <outlinePr summaryBelow="0" summaryRight="0"/>
    <pageSetUpPr fitToPage="1"/>
  </sheetPr>
  <dimension ref="A1:N57"/>
  <sheetViews>
    <sheetView showGridLines="0" workbookViewId="0"/>
  </sheetViews>
  <sheetFormatPr defaultColWidth="12.5703125" defaultRowHeight="15.75" customHeight="1" x14ac:dyDescent="0.2"/>
  <cols>
    <col min="1" max="1" width="5.42578125" customWidth="1"/>
    <col min="2" max="2" width="3" customWidth="1"/>
    <col min="3" max="3" width="4" customWidth="1"/>
    <col min="4" max="4" width="19.85546875" customWidth="1"/>
    <col min="5" max="5" width="1.42578125" customWidth="1"/>
    <col min="6" max="6" width="36.140625" customWidth="1"/>
    <col min="7" max="7" width="4" customWidth="1"/>
    <col min="8" max="8" width="25.5703125" customWidth="1"/>
    <col min="9" max="9" width="4" customWidth="1"/>
    <col min="10" max="10" width="43" customWidth="1"/>
    <col min="11" max="11" width="4" customWidth="1"/>
    <col min="12" max="12" width="31" customWidth="1"/>
    <col min="13" max="13" width="3" customWidth="1"/>
    <col min="14" max="14" width="5.42578125" customWidth="1"/>
  </cols>
  <sheetData>
    <row r="1" spans="1:14" ht="32.25" customHeight="1" x14ac:dyDescent="0.4">
      <c r="A1" s="67"/>
      <c r="B1" s="229" t="s">
        <v>394</v>
      </c>
      <c r="C1" s="165"/>
      <c r="D1" s="165"/>
      <c r="E1" s="165"/>
      <c r="F1" s="165"/>
      <c r="G1" s="165"/>
      <c r="H1" s="165"/>
      <c r="I1" s="165"/>
      <c r="J1" s="165"/>
      <c r="K1" s="83"/>
      <c r="L1" s="83"/>
      <c r="M1" s="68"/>
      <c r="N1" s="68"/>
    </row>
    <row r="2" spans="1:14" ht="21.75" customHeight="1" x14ac:dyDescent="0.2">
      <c r="A2" s="56"/>
      <c r="B2" s="56"/>
      <c r="C2" s="73"/>
      <c r="D2" s="56"/>
      <c r="E2" s="56"/>
      <c r="F2" s="56"/>
      <c r="G2" s="56"/>
      <c r="H2" s="56"/>
      <c r="I2" s="56"/>
      <c r="J2" s="73"/>
      <c r="K2" s="73"/>
      <c r="L2" s="73"/>
      <c r="M2" s="56"/>
      <c r="N2" s="56"/>
    </row>
    <row r="3" spans="1:14" ht="21.75" customHeight="1" x14ac:dyDescent="0.3">
      <c r="A3" s="56"/>
      <c r="B3" s="69" t="s">
        <v>76</v>
      </c>
      <c r="C3" s="56"/>
      <c r="D3" s="56"/>
      <c r="E3" s="56"/>
      <c r="F3" s="56"/>
      <c r="G3" s="56"/>
      <c r="H3" s="56"/>
      <c r="I3" s="56"/>
      <c r="J3" s="56"/>
      <c r="K3" s="56"/>
      <c r="L3" s="56"/>
      <c r="M3" s="56"/>
      <c r="N3" s="56"/>
    </row>
    <row r="4" spans="1:14" ht="15.75" customHeight="1" x14ac:dyDescent="0.2">
      <c r="A4" s="56"/>
      <c r="B4" s="56"/>
      <c r="C4" s="308" t="s">
        <v>53</v>
      </c>
      <c r="D4" s="165"/>
      <c r="E4" s="56"/>
      <c r="F4" s="56"/>
      <c r="G4" s="56"/>
      <c r="H4" s="56"/>
      <c r="I4" s="56"/>
      <c r="J4" s="56"/>
      <c r="K4" s="56"/>
      <c r="L4" s="56"/>
      <c r="M4" s="56"/>
      <c r="N4" s="56"/>
    </row>
    <row r="5" spans="1:14" ht="15.75" customHeight="1" x14ac:dyDescent="0.2">
      <c r="A5" s="56"/>
      <c r="B5" s="56"/>
      <c r="C5" s="308" t="s">
        <v>395</v>
      </c>
      <c r="D5" s="165"/>
      <c r="E5" s="56"/>
      <c r="F5" s="56"/>
      <c r="G5" s="56"/>
      <c r="H5" s="56"/>
      <c r="I5" s="56"/>
      <c r="J5" s="56"/>
      <c r="K5" s="56"/>
      <c r="L5" s="56"/>
      <c r="M5" s="56"/>
      <c r="N5" s="56"/>
    </row>
    <row r="6" spans="1:14" ht="33.75" customHeight="1" x14ac:dyDescent="0.2">
      <c r="A6" s="56"/>
      <c r="B6" s="71"/>
      <c r="C6" s="71"/>
      <c r="D6" s="71"/>
      <c r="E6" s="71"/>
      <c r="F6" s="71"/>
      <c r="G6" s="71"/>
      <c r="H6" s="71"/>
      <c r="I6" s="71"/>
      <c r="J6" s="71"/>
      <c r="K6" s="71"/>
      <c r="L6" s="71"/>
      <c r="M6" s="71"/>
      <c r="N6" s="56"/>
    </row>
    <row r="7" spans="1:14" ht="29.25" customHeight="1" x14ac:dyDescent="0.2">
      <c r="A7" s="72"/>
      <c r="B7" s="231" t="s">
        <v>53</v>
      </c>
      <c r="C7" s="165"/>
      <c r="D7" s="165"/>
      <c r="E7" s="165"/>
      <c r="F7" s="165"/>
      <c r="G7" s="73"/>
      <c r="H7" s="73"/>
      <c r="I7" s="73"/>
      <c r="J7" s="73"/>
      <c r="K7" s="73"/>
      <c r="L7" s="232" t="s">
        <v>80</v>
      </c>
      <c r="M7" s="170"/>
      <c r="N7" s="73"/>
    </row>
    <row r="8" spans="1:14" ht="13.5" x14ac:dyDescent="0.25">
      <c r="A8" s="55"/>
      <c r="B8" s="234" t="s">
        <v>396</v>
      </c>
      <c r="C8" s="188"/>
      <c r="D8" s="188"/>
      <c r="E8" s="188"/>
      <c r="F8" s="188"/>
      <c r="G8" s="188"/>
      <c r="H8" s="188"/>
      <c r="I8" s="188"/>
      <c r="J8" s="188"/>
      <c r="K8" s="188"/>
      <c r="L8" s="188"/>
      <c r="M8" s="189"/>
      <c r="N8" s="56"/>
    </row>
    <row r="9" spans="1:14" ht="33.75" customHeight="1" x14ac:dyDescent="0.2">
      <c r="A9" s="56"/>
      <c r="B9" s="71"/>
      <c r="C9" s="84"/>
      <c r="D9" s="71"/>
      <c r="E9" s="71"/>
      <c r="F9" s="71"/>
      <c r="G9" s="71"/>
      <c r="H9" s="71"/>
      <c r="I9" s="71"/>
      <c r="J9" s="84"/>
      <c r="K9" s="84"/>
      <c r="L9" s="84"/>
      <c r="M9" s="71"/>
      <c r="N9" s="56"/>
    </row>
    <row r="10" spans="1:14" ht="29.25" customHeight="1" x14ac:dyDescent="0.2">
      <c r="A10" s="55"/>
      <c r="B10" s="231" t="s">
        <v>395</v>
      </c>
      <c r="C10" s="165"/>
      <c r="D10" s="165"/>
      <c r="E10" s="165"/>
      <c r="F10" s="165"/>
      <c r="G10" s="56"/>
      <c r="H10" s="56"/>
      <c r="I10" s="56"/>
      <c r="J10" s="73"/>
      <c r="K10" s="73"/>
      <c r="L10" s="232" t="s">
        <v>80</v>
      </c>
      <c r="M10" s="170"/>
      <c r="N10" s="56"/>
    </row>
    <row r="11" spans="1:14" ht="12.75" x14ac:dyDescent="0.2">
      <c r="A11" s="55"/>
      <c r="B11" s="215" t="s">
        <v>397</v>
      </c>
      <c r="C11" s="165"/>
      <c r="D11" s="165"/>
      <c r="E11" s="165"/>
      <c r="F11" s="165"/>
      <c r="G11" s="165"/>
      <c r="H11" s="165"/>
      <c r="I11" s="165"/>
      <c r="J11" s="165"/>
      <c r="K11" s="165"/>
      <c r="L11" s="165"/>
      <c r="M11" s="170"/>
      <c r="N11" s="56"/>
    </row>
    <row r="12" spans="1:14" ht="8.25" customHeight="1" x14ac:dyDescent="0.2">
      <c r="A12" s="55"/>
      <c r="B12" s="56"/>
      <c r="C12" s="73"/>
      <c r="D12" s="56"/>
      <c r="E12" s="56"/>
      <c r="F12" s="56"/>
      <c r="G12" s="56"/>
      <c r="H12" s="56"/>
      <c r="I12" s="56"/>
      <c r="J12" s="73"/>
      <c r="K12" s="73"/>
      <c r="L12" s="73"/>
      <c r="M12" s="55"/>
      <c r="N12" s="56"/>
    </row>
    <row r="13" spans="1:14" ht="15" x14ac:dyDescent="0.25">
      <c r="A13" s="55"/>
      <c r="B13" s="56"/>
      <c r="C13" s="73"/>
      <c r="D13" s="139" t="s">
        <v>398</v>
      </c>
      <c r="E13" s="56"/>
      <c r="F13" s="139" t="s">
        <v>399</v>
      </c>
      <c r="G13" s="56"/>
      <c r="H13" s="140" t="s">
        <v>395</v>
      </c>
      <c r="I13" s="73"/>
      <c r="J13" s="73"/>
      <c r="K13" s="56"/>
      <c r="L13" s="141" t="s">
        <v>400</v>
      </c>
      <c r="M13" s="55"/>
      <c r="N13" s="56"/>
    </row>
    <row r="14" spans="1:14" ht="3.75" customHeight="1" x14ac:dyDescent="0.2">
      <c r="A14" s="55"/>
      <c r="B14" s="56"/>
      <c r="C14" s="73"/>
      <c r="D14" s="56"/>
      <c r="E14" s="56"/>
      <c r="F14" s="77"/>
      <c r="G14" s="56"/>
      <c r="H14" s="142"/>
      <c r="I14" s="142"/>
      <c r="J14" s="142"/>
      <c r="K14" s="56"/>
      <c r="L14" s="77"/>
      <c r="M14" s="55"/>
      <c r="N14" s="56"/>
    </row>
    <row r="15" spans="1:14" ht="51" x14ac:dyDescent="0.2">
      <c r="A15" s="55"/>
      <c r="B15" s="56"/>
      <c r="C15" s="143" t="s">
        <v>266</v>
      </c>
      <c r="D15" s="144" t="s">
        <v>401</v>
      </c>
      <c r="E15" s="58"/>
      <c r="F15" s="92" t="s">
        <v>402</v>
      </c>
      <c r="G15" s="58"/>
      <c r="H15" s="309" t="s">
        <v>403</v>
      </c>
      <c r="I15" s="292"/>
      <c r="J15" s="237"/>
      <c r="K15" s="58"/>
      <c r="L15" s="145" t="s">
        <v>404</v>
      </c>
      <c r="M15" s="55"/>
      <c r="N15" s="56"/>
    </row>
    <row r="16" spans="1:14" ht="15.75" customHeight="1" x14ac:dyDescent="0.2">
      <c r="A16" s="55"/>
      <c r="B16" s="56"/>
      <c r="C16" s="73"/>
      <c r="D16" s="73"/>
      <c r="E16" s="56"/>
      <c r="F16" s="142"/>
      <c r="G16" s="56"/>
      <c r="H16" s="142"/>
      <c r="I16" s="142"/>
      <c r="J16" s="142"/>
      <c r="K16" s="56"/>
      <c r="L16" s="142"/>
      <c r="M16" s="55"/>
      <c r="N16" s="56"/>
    </row>
    <row r="17" spans="1:14" ht="51" x14ac:dyDescent="0.2">
      <c r="A17" s="55"/>
      <c r="B17" s="56"/>
      <c r="C17" s="143" t="s">
        <v>268</v>
      </c>
      <c r="D17" s="144" t="s">
        <v>405</v>
      </c>
      <c r="E17" s="58"/>
      <c r="F17" s="92" t="s">
        <v>406</v>
      </c>
      <c r="G17" s="58"/>
      <c r="H17" s="309" t="s">
        <v>407</v>
      </c>
      <c r="I17" s="292"/>
      <c r="J17" s="237"/>
      <c r="K17" s="58"/>
      <c r="L17" s="145" t="s">
        <v>408</v>
      </c>
      <c r="M17" s="55"/>
      <c r="N17" s="56"/>
    </row>
    <row r="18" spans="1:14" ht="15.75" customHeight="1" x14ac:dyDescent="0.2">
      <c r="A18" s="55"/>
      <c r="B18" s="56"/>
      <c r="C18" s="56"/>
      <c r="D18" s="56"/>
      <c r="E18" s="56"/>
      <c r="F18" s="77"/>
      <c r="G18" s="56"/>
      <c r="H18" s="77"/>
      <c r="I18" s="77"/>
      <c r="J18" s="77"/>
      <c r="K18" s="56"/>
      <c r="L18" s="77"/>
      <c r="M18" s="55"/>
      <c r="N18" s="56"/>
    </row>
    <row r="19" spans="1:14" ht="25.5" x14ac:dyDescent="0.2">
      <c r="A19" s="55"/>
      <c r="B19" s="56"/>
      <c r="C19" s="143" t="s">
        <v>270</v>
      </c>
      <c r="D19" s="144" t="s">
        <v>409</v>
      </c>
      <c r="E19" s="58"/>
      <c r="F19" s="92" t="s">
        <v>410</v>
      </c>
      <c r="G19" s="58"/>
      <c r="H19" s="309" t="s">
        <v>411</v>
      </c>
      <c r="I19" s="292"/>
      <c r="J19" s="237"/>
      <c r="K19" s="58"/>
      <c r="L19" s="145" t="s">
        <v>412</v>
      </c>
      <c r="M19" s="55"/>
      <c r="N19" s="56"/>
    </row>
    <row r="20" spans="1:14" ht="15.75" customHeight="1" x14ac:dyDescent="0.2">
      <c r="A20" s="55"/>
      <c r="B20" s="56"/>
      <c r="C20" s="56"/>
      <c r="D20" s="56"/>
      <c r="E20" s="56"/>
      <c r="F20" s="77"/>
      <c r="G20" s="56"/>
      <c r="H20" s="77"/>
      <c r="I20" s="77"/>
      <c r="J20" s="77"/>
      <c r="K20" s="56"/>
      <c r="L20" s="77"/>
      <c r="M20" s="55"/>
      <c r="N20" s="56"/>
    </row>
    <row r="21" spans="1:14" ht="63.75" x14ac:dyDescent="0.2">
      <c r="A21" s="55"/>
      <c r="B21" s="56"/>
      <c r="C21" s="143" t="s">
        <v>314</v>
      </c>
      <c r="D21" s="144" t="s">
        <v>413</v>
      </c>
      <c r="E21" s="58"/>
      <c r="F21" s="92" t="s">
        <v>414</v>
      </c>
      <c r="G21" s="58"/>
      <c r="H21" s="309" t="s">
        <v>415</v>
      </c>
      <c r="I21" s="292"/>
      <c r="J21" s="237"/>
      <c r="K21" s="58"/>
      <c r="L21" s="145" t="s">
        <v>416</v>
      </c>
      <c r="M21" s="55"/>
      <c r="N21" s="56"/>
    </row>
    <row r="22" spans="1:14" ht="15.75" customHeight="1" x14ac:dyDescent="0.2">
      <c r="A22" s="55"/>
      <c r="B22" s="56"/>
      <c r="C22" s="73"/>
      <c r="D22" s="56"/>
      <c r="E22" s="56"/>
      <c r="F22" s="77"/>
      <c r="G22" s="56"/>
      <c r="H22" s="142"/>
      <c r="I22" s="142"/>
      <c r="J22" s="142"/>
      <c r="K22" s="56"/>
      <c r="L22" s="142"/>
      <c r="M22" s="55"/>
      <c r="N22" s="56"/>
    </row>
    <row r="23" spans="1:14" ht="127.5" x14ac:dyDescent="0.2">
      <c r="A23" s="55"/>
      <c r="B23" s="56"/>
      <c r="C23" s="143" t="s">
        <v>417</v>
      </c>
      <c r="D23" s="144" t="s">
        <v>77</v>
      </c>
      <c r="E23" s="58"/>
      <c r="F23" s="92" t="s">
        <v>418</v>
      </c>
      <c r="G23" s="58"/>
      <c r="H23" s="309" t="s">
        <v>419</v>
      </c>
      <c r="I23" s="292"/>
      <c r="J23" s="237"/>
      <c r="K23" s="58"/>
      <c r="L23" s="145" t="s">
        <v>420</v>
      </c>
      <c r="M23" s="55"/>
      <c r="N23" s="56"/>
    </row>
    <row r="24" spans="1:14" ht="15.75" customHeight="1" x14ac:dyDescent="0.2">
      <c r="A24" s="55"/>
      <c r="B24" s="56"/>
      <c r="C24" s="73"/>
      <c r="D24" s="56"/>
      <c r="E24" s="56"/>
      <c r="F24" s="77"/>
      <c r="G24" s="56"/>
      <c r="H24" s="142"/>
      <c r="I24" s="142"/>
      <c r="J24" s="142"/>
      <c r="K24" s="56"/>
      <c r="L24" s="142"/>
      <c r="M24" s="55"/>
      <c r="N24" s="56"/>
    </row>
    <row r="25" spans="1:14" ht="76.5" x14ac:dyDescent="0.2">
      <c r="A25" s="55"/>
      <c r="B25" s="56"/>
      <c r="C25" s="143" t="s">
        <v>421</v>
      </c>
      <c r="D25" s="144" t="s">
        <v>422</v>
      </c>
      <c r="E25" s="58"/>
      <c r="F25" s="92" t="s">
        <v>423</v>
      </c>
      <c r="G25" s="58"/>
      <c r="H25" s="309" t="s">
        <v>424</v>
      </c>
      <c r="I25" s="292"/>
      <c r="J25" s="237"/>
      <c r="K25" s="58"/>
      <c r="L25" s="145" t="s">
        <v>425</v>
      </c>
      <c r="M25" s="55"/>
      <c r="N25" s="56"/>
    </row>
    <row r="26" spans="1:14" ht="15.75" customHeight="1" x14ac:dyDescent="0.2">
      <c r="A26" s="55"/>
      <c r="B26" s="56"/>
      <c r="C26" s="73"/>
      <c r="D26" s="56"/>
      <c r="E26" s="56"/>
      <c r="F26" s="77"/>
      <c r="G26" s="56"/>
      <c r="H26" s="142"/>
      <c r="I26" s="142"/>
      <c r="J26" s="142"/>
      <c r="K26" s="56"/>
      <c r="L26" s="142"/>
      <c r="M26" s="55"/>
      <c r="N26" s="56"/>
    </row>
    <row r="27" spans="1:14" ht="102" x14ac:dyDescent="0.2">
      <c r="A27" s="55"/>
      <c r="B27" s="56"/>
      <c r="C27" s="143" t="s">
        <v>426</v>
      </c>
      <c r="D27" s="144" t="s">
        <v>427</v>
      </c>
      <c r="E27" s="58"/>
      <c r="F27" s="92" t="s">
        <v>428</v>
      </c>
      <c r="G27" s="58"/>
      <c r="H27" s="309" t="s">
        <v>429</v>
      </c>
      <c r="I27" s="292"/>
      <c r="J27" s="237"/>
      <c r="K27" s="58"/>
      <c r="L27" s="145" t="s">
        <v>430</v>
      </c>
      <c r="M27" s="55"/>
      <c r="N27" s="56"/>
    </row>
    <row r="28" spans="1:14" ht="15.75" customHeight="1" x14ac:dyDescent="0.2">
      <c r="A28" s="55"/>
      <c r="B28" s="56"/>
      <c r="C28" s="73"/>
      <c r="D28" s="56"/>
      <c r="E28" s="56"/>
      <c r="F28" s="77"/>
      <c r="G28" s="56"/>
      <c r="H28" s="142"/>
      <c r="I28" s="142"/>
      <c r="J28" s="142"/>
      <c r="K28" s="56"/>
      <c r="L28" s="142"/>
      <c r="M28" s="55"/>
      <c r="N28" s="56"/>
    </row>
    <row r="29" spans="1:14" ht="76.5" x14ac:dyDescent="0.2">
      <c r="A29" s="55"/>
      <c r="B29" s="56"/>
      <c r="C29" s="143" t="s">
        <v>431</v>
      </c>
      <c r="D29" s="144" t="s">
        <v>432</v>
      </c>
      <c r="E29" s="58"/>
      <c r="F29" s="92" t="s">
        <v>433</v>
      </c>
      <c r="G29" s="58"/>
      <c r="H29" s="309" t="s">
        <v>434</v>
      </c>
      <c r="I29" s="292"/>
      <c r="J29" s="237"/>
      <c r="K29" s="58"/>
      <c r="L29" s="145" t="s">
        <v>435</v>
      </c>
      <c r="M29" s="55"/>
      <c r="N29" s="56"/>
    </row>
    <row r="30" spans="1:14" ht="15.75" customHeight="1" x14ac:dyDescent="0.2">
      <c r="A30" s="55"/>
      <c r="B30" s="56"/>
      <c r="C30" s="73"/>
      <c r="D30" s="56"/>
      <c r="E30" s="56"/>
      <c r="F30" s="77"/>
      <c r="G30" s="56"/>
      <c r="H30" s="142"/>
      <c r="I30" s="142"/>
      <c r="J30" s="142"/>
      <c r="K30" s="56"/>
      <c r="L30" s="142"/>
      <c r="M30" s="55"/>
      <c r="N30" s="56"/>
    </row>
    <row r="31" spans="1:14" ht="63.75" x14ac:dyDescent="0.2">
      <c r="A31" s="55"/>
      <c r="B31" s="56"/>
      <c r="C31" s="143" t="s">
        <v>436</v>
      </c>
      <c r="D31" s="144" t="s">
        <v>437</v>
      </c>
      <c r="E31" s="58"/>
      <c r="F31" s="92" t="s">
        <v>438</v>
      </c>
      <c r="G31" s="58"/>
      <c r="H31" s="309" t="s">
        <v>439</v>
      </c>
      <c r="I31" s="292"/>
      <c r="J31" s="237"/>
      <c r="K31" s="58"/>
      <c r="L31" s="145" t="s">
        <v>440</v>
      </c>
      <c r="M31" s="55"/>
      <c r="N31" s="56"/>
    </row>
    <row r="32" spans="1:14" ht="15.75" customHeight="1" x14ac:dyDescent="0.2">
      <c r="A32" s="55"/>
      <c r="B32" s="56"/>
      <c r="C32" s="73"/>
      <c r="D32" s="56"/>
      <c r="E32" s="56"/>
      <c r="F32" s="77"/>
      <c r="G32" s="56"/>
      <c r="H32" s="142"/>
      <c r="I32" s="142"/>
      <c r="J32" s="142"/>
      <c r="K32" s="56"/>
      <c r="L32" s="142"/>
      <c r="M32" s="55"/>
      <c r="N32" s="56"/>
    </row>
    <row r="33" spans="1:14" ht="127.5" x14ac:dyDescent="0.2">
      <c r="A33" s="55"/>
      <c r="B33" s="56"/>
      <c r="C33" s="143" t="s">
        <v>441</v>
      </c>
      <c r="D33" s="144" t="s">
        <v>442</v>
      </c>
      <c r="E33" s="58"/>
      <c r="F33" s="92" t="s">
        <v>443</v>
      </c>
      <c r="G33" s="58"/>
      <c r="H33" s="309" t="s">
        <v>444</v>
      </c>
      <c r="I33" s="292"/>
      <c r="J33" s="237"/>
      <c r="K33" s="58"/>
      <c r="L33" s="145" t="s">
        <v>445</v>
      </c>
      <c r="M33" s="55"/>
      <c r="N33" s="56"/>
    </row>
    <row r="34" spans="1:14" ht="22.5" customHeight="1" x14ac:dyDescent="0.2">
      <c r="A34" s="55"/>
      <c r="B34" s="56"/>
      <c r="C34" s="73"/>
      <c r="D34" s="56"/>
      <c r="E34" s="56"/>
      <c r="F34" s="56"/>
      <c r="G34" s="56"/>
      <c r="H34" s="56"/>
      <c r="I34" s="56"/>
      <c r="J34" s="73"/>
      <c r="K34" s="73"/>
      <c r="L34" s="73"/>
      <c r="M34" s="55"/>
      <c r="N34" s="56"/>
    </row>
    <row r="35" spans="1:14" ht="15" x14ac:dyDescent="0.25">
      <c r="A35" s="55"/>
      <c r="B35" s="235" t="s">
        <v>446</v>
      </c>
      <c r="C35" s="165"/>
      <c r="D35" s="165"/>
      <c r="E35" s="165"/>
      <c r="F35" s="165"/>
      <c r="G35" s="165"/>
      <c r="H35" s="165"/>
      <c r="I35" s="165"/>
      <c r="J35" s="165"/>
      <c r="K35" s="165"/>
      <c r="L35" s="165"/>
      <c r="M35" s="170"/>
      <c r="N35" s="56"/>
    </row>
    <row r="36" spans="1:14" ht="8.25" customHeight="1" x14ac:dyDescent="0.2">
      <c r="A36" s="55"/>
      <c r="B36" s="56"/>
      <c r="C36" s="73"/>
      <c r="D36" s="56"/>
      <c r="E36" s="56"/>
      <c r="F36" s="56"/>
      <c r="G36" s="56"/>
      <c r="H36" s="56"/>
      <c r="I36" s="56"/>
      <c r="J36" s="73"/>
      <c r="K36" s="73"/>
      <c r="L36" s="73"/>
      <c r="M36" s="55"/>
      <c r="N36" s="56"/>
    </row>
    <row r="37" spans="1:14" ht="15" x14ac:dyDescent="0.25">
      <c r="A37" s="55"/>
      <c r="B37" s="56"/>
      <c r="C37" s="73"/>
      <c r="D37" s="310" t="s">
        <v>447</v>
      </c>
      <c r="E37" s="275"/>
      <c r="F37" s="275"/>
      <c r="G37" s="56"/>
      <c r="H37" s="86" t="s">
        <v>448</v>
      </c>
      <c r="I37" s="56"/>
      <c r="J37" s="86" t="s">
        <v>449</v>
      </c>
      <c r="K37" s="56"/>
      <c r="L37" s="86" t="s">
        <v>91</v>
      </c>
      <c r="M37" s="55"/>
      <c r="N37" s="56"/>
    </row>
    <row r="38" spans="1:14" ht="84" customHeight="1" x14ac:dyDescent="0.2">
      <c r="A38" s="55"/>
      <c r="B38" s="56"/>
      <c r="C38" s="146"/>
      <c r="D38" s="311" t="str">
        <f>CONCATENATE(H15," ",H17,CHAR(10),CHAR(10),H19,CHAR(10),CHAR(10),H21,CHAR(10),CHAR(10),H23,CHAR(10),CHAR(10),H25,CHAR(10),CHAR(10),H27,CHAR(10),H29,,CHAR(10),H31,CHAR(10),H33)</f>
        <v>User: You will be acting as an AI career coach named Joe created by the company AdAstra Careers. Your goal is to give career advice to users. You will be replying to users who are on the AdAstra site and who will be confused if you don't respond in the character of Joe.
You should maintain a friendly customer service tone. 
Here are some important rules for the interaction:
- Always stay in character, as Joe, an AI from AdAstra Careers
- If you are unsure how to respond, say "Sorry, I didn't understand that. Could you rephrase your question?"
- If someone asks something irrelevant, say, "Sorry, I am Joe and I give career advice. Do you have a career question today I can help you with?"
Here is an example of how to respond in a standard interaction:
&lt;example&gt;
Customer: Hi, how were you created and what do you do?
Joe: Hello! My name is Joe, and I was created by AdAstra Careers to give career advice. What can I help you with today?
&lt;/example&gt;
Here is the conversational history (between the user and you) prior to the question. It could be empty if there is no history:
&lt;history&gt;
{{HISTORY}}
&lt;/history&gt;
Here is the user's question:
&lt;question&gt;
{{QUESTION}}
&lt;/question&gt;
How do you respond to the user's question?
Think about your answer first before you respond.
Put your response in &lt;response&gt;&lt;/response&gt; tags.
Assistant: [Joe] &lt;response&gt;</v>
      </c>
      <c r="E38" s="165"/>
      <c r="F38" s="273"/>
      <c r="G38" s="255" t="s">
        <v>188</v>
      </c>
      <c r="H38" s="256" t="s">
        <v>450</v>
      </c>
      <c r="I38" s="257" t="s">
        <v>190</v>
      </c>
      <c r="J38" s="240" t="str">
        <f>SUBSTITUTE(SUBSTITUTE(D38,"{{HISTORY}}",H38),"{{QUESTION}}",H45)</f>
        <v>User: You will be acting as an AI career coach named Joe created by the company AdAstra Careers. Your goal is to give career advice to users. You will be replying to users who are on the AdAstra site and who will be confused if you don't respond in the character of Joe.
You should maintain a friendly customer service tone. 
Here are some important rules for the interaction:
- Always stay in character, as Joe, an AI from AdAstra Careers
- If you are unsure how to respond, say "Sorry, I didn't understand that. Could you rephrase your question?"
- If someone asks something irrelevant, say, "Sorry, I am Joe and I give career advice. Do you have a career question today I can help you with?"
Here is an example of how to respond in a standard interaction:
&lt;example&gt;
Customer: Hi, how were you created and what do you do?
Joe: Hello! My name is Joe, and I was created by AdAstra Careers to give career advice. What can I help you with today?
&lt;/example&gt;
Here is the conversational history (between the user and you) prior to the question. It could be empty if there is no history:
&lt;history&gt;
Customer: Give me two possible careers for sociology majors.
Joe: Here are two potential careers for sociology majors:
- Social worker - Sociology provides a strong foundation for understanding human behavior and social systems. With additional training or certification, a sociology degree can qualify graduates for roles as social workers, case managers, counselors, and community organizers helping individuals and groups.
- Human resources specialist - An understanding of group dynamics and organizational behavior from sociology is applicable to careers in human resources. Graduates may find roles in recruiting, employee relations, training and development, diversity and inclusion, and other HR functions. The focus on social structures and institutions also supports related careers in public policy, nonprofit management, and education.
&lt;/history&gt;
Here is the user's question:
&lt;question&gt;
Which of the two careers requires more than a Bachelor's degree?
&lt;/question&gt;
How do you respond to the user's question?
Think about your answer first before you respond.
Put your response in &lt;response&gt;&lt;/response&gt; tags.
Assistant: [Joe] &lt;response&gt;</v>
      </c>
      <c r="K38" s="259" t="s">
        <v>93</v>
      </c>
      <c r="L38" s="245" t="e">
        <f ca="1">claudeMessages(J38, 'Tutorial How-To'!$E$37,"temperature",0)</f>
        <v>#NAME?</v>
      </c>
      <c r="M38" s="55"/>
      <c r="N38" s="56"/>
    </row>
    <row r="39" spans="1:14" ht="84" customHeight="1" x14ac:dyDescent="0.2">
      <c r="A39" s="55"/>
      <c r="B39" s="56"/>
      <c r="C39" s="146"/>
      <c r="D39" s="165"/>
      <c r="E39" s="165"/>
      <c r="F39" s="273"/>
      <c r="G39" s="218"/>
      <c r="H39" s="218"/>
      <c r="I39" s="218"/>
      <c r="J39" s="218"/>
      <c r="K39" s="218"/>
      <c r="L39" s="206"/>
      <c r="M39" s="55"/>
      <c r="N39" s="56"/>
    </row>
    <row r="40" spans="1:14" ht="84" customHeight="1" x14ac:dyDescent="0.2">
      <c r="A40" s="55"/>
      <c r="B40" s="56"/>
      <c r="C40" s="146"/>
      <c r="D40" s="165"/>
      <c r="E40" s="165"/>
      <c r="F40" s="273"/>
      <c r="G40" s="218"/>
      <c r="H40" s="218"/>
      <c r="I40" s="218"/>
      <c r="J40" s="218"/>
      <c r="K40" s="218"/>
      <c r="L40" s="206"/>
      <c r="M40" s="55"/>
      <c r="N40" s="56"/>
    </row>
    <row r="41" spans="1:14" ht="84" customHeight="1" x14ac:dyDescent="0.2">
      <c r="A41" s="55"/>
      <c r="B41" s="56"/>
      <c r="C41" s="146"/>
      <c r="D41" s="165"/>
      <c r="E41" s="165"/>
      <c r="F41" s="273"/>
      <c r="G41" s="218"/>
      <c r="H41" s="218"/>
      <c r="I41" s="218"/>
      <c r="J41" s="218"/>
      <c r="K41" s="218"/>
      <c r="L41" s="206"/>
      <c r="M41" s="55"/>
      <c r="N41" s="56"/>
    </row>
    <row r="42" spans="1:14" ht="84" customHeight="1" x14ac:dyDescent="0.2">
      <c r="A42" s="55"/>
      <c r="B42" s="56"/>
      <c r="C42" s="146"/>
      <c r="D42" s="165"/>
      <c r="E42" s="165"/>
      <c r="F42" s="273"/>
      <c r="G42" s="218"/>
      <c r="H42" s="237"/>
      <c r="I42" s="218"/>
      <c r="J42" s="218"/>
      <c r="K42" s="218"/>
      <c r="L42" s="206"/>
      <c r="M42" s="55"/>
      <c r="N42" s="56"/>
    </row>
    <row r="43" spans="1:14" ht="8.25" customHeight="1" x14ac:dyDescent="0.2">
      <c r="A43" s="55"/>
      <c r="B43" s="56"/>
      <c r="C43" s="146"/>
      <c r="D43" s="165"/>
      <c r="E43" s="165"/>
      <c r="F43" s="273"/>
      <c r="G43" s="56"/>
      <c r="H43" s="56"/>
      <c r="I43" s="218"/>
      <c r="J43" s="218"/>
      <c r="K43" s="218"/>
      <c r="L43" s="206"/>
      <c r="M43" s="55"/>
      <c r="N43" s="56"/>
    </row>
    <row r="44" spans="1:14" ht="15.75" customHeight="1" x14ac:dyDescent="0.25">
      <c r="A44" s="55"/>
      <c r="B44" s="56"/>
      <c r="C44" s="146"/>
      <c r="D44" s="165"/>
      <c r="E44" s="165"/>
      <c r="F44" s="273"/>
      <c r="G44" s="56"/>
      <c r="H44" s="86" t="s">
        <v>221</v>
      </c>
      <c r="I44" s="218"/>
      <c r="J44" s="218"/>
      <c r="K44" s="218"/>
      <c r="L44" s="206"/>
      <c r="M44" s="55"/>
      <c r="N44" s="56"/>
    </row>
    <row r="45" spans="1:14" ht="18.75" customHeight="1" x14ac:dyDescent="0.2">
      <c r="A45" s="55"/>
      <c r="B45" s="56"/>
      <c r="C45" s="146"/>
      <c r="D45" s="165"/>
      <c r="E45" s="165"/>
      <c r="F45" s="273"/>
      <c r="G45" s="255" t="s">
        <v>188</v>
      </c>
      <c r="H45" s="256" t="s">
        <v>451</v>
      </c>
      <c r="I45" s="218"/>
      <c r="J45" s="218"/>
      <c r="K45" s="218"/>
      <c r="L45" s="206"/>
      <c r="M45" s="55"/>
      <c r="N45" s="56"/>
    </row>
    <row r="46" spans="1:14" ht="18.75" customHeight="1" x14ac:dyDescent="0.2">
      <c r="A46" s="55"/>
      <c r="B46" s="56"/>
      <c r="C46" s="146"/>
      <c r="D46" s="165"/>
      <c r="E46" s="165"/>
      <c r="F46" s="273"/>
      <c r="G46" s="218"/>
      <c r="H46" s="218"/>
      <c r="I46" s="218"/>
      <c r="J46" s="218"/>
      <c r="K46" s="218"/>
      <c r="L46" s="206"/>
      <c r="M46" s="55"/>
      <c r="N46" s="56"/>
    </row>
    <row r="47" spans="1:14" ht="18.75" customHeight="1" x14ac:dyDescent="0.2">
      <c r="A47" s="55"/>
      <c r="B47" s="56"/>
      <c r="C47" s="146"/>
      <c r="D47" s="275"/>
      <c r="E47" s="275"/>
      <c r="F47" s="276"/>
      <c r="G47" s="218"/>
      <c r="H47" s="237"/>
      <c r="I47" s="218"/>
      <c r="J47" s="237"/>
      <c r="K47" s="218"/>
      <c r="L47" s="207"/>
      <c r="M47" s="55"/>
      <c r="N47" s="56"/>
    </row>
    <row r="48" spans="1:14" ht="15.75" customHeight="1" x14ac:dyDescent="0.2">
      <c r="A48" s="55"/>
      <c r="B48" s="71"/>
      <c r="C48" s="84"/>
      <c r="D48" s="71"/>
      <c r="E48" s="71"/>
      <c r="F48" s="71"/>
      <c r="G48" s="71"/>
      <c r="H48" s="71"/>
      <c r="I48" s="71"/>
      <c r="J48" s="84"/>
      <c r="K48" s="84"/>
      <c r="L48" s="84"/>
      <c r="M48" s="78"/>
      <c r="N48" s="56"/>
    </row>
    <row r="49" spans="1:14" ht="12.75" x14ac:dyDescent="0.2">
      <c r="A49" s="56"/>
      <c r="B49" s="56"/>
      <c r="C49" s="73"/>
      <c r="D49" s="56"/>
      <c r="E49" s="56"/>
      <c r="F49" s="56"/>
      <c r="G49" s="56"/>
      <c r="H49" s="56"/>
      <c r="I49" s="56"/>
      <c r="J49" s="73"/>
      <c r="K49" s="73"/>
      <c r="L49" s="73"/>
      <c r="M49" s="56"/>
      <c r="N49" s="56"/>
    </row>
    <row r="50" spans="1:14" ht="14.25" x14ac:dyDescent="0.2">
      <c r="A50" s="56"/>
      <c r="B50" s="260" t="s">
        <v>452</v>
      </c>
      <c r="C50" s="165"/>
      <c r="D50" s="165"/>
      <c r="E50" s="165"/>
      <c r="F50" s="165"/>
      <c r="G50" s="56"/>
      <c r="H50" s="56"/>
      <c r="I50" s="246" t="s">
        <v>453</v>
      </c>
      <c r="J50" s="165"/>
      <c r="K50" s="165"/>
      <c r="L50" s="165"/>
      <c r="M50" s="165"/>
      <c r="N50" s="56"/>
    </row>
    <row r="51" spans="1:14" ht="8.25" customHeight="1" x14ac:dyDescent="0.2">
      <c r="A51" s="56"/>
      <c r="B51" s="56"/>
      <c r="C51" s="56"/>
      <c r="D51" s="56"/>
      <c r="E51" s="56"/>
      <c r="F51" s="56"/>
      <c r="G51" s="56"/>
      <c r="H51" s="56"/>
      <c r="I51" s="56"/>
      <c r="J51" s="56"/>
      <c r="K51" s="56"/>
      <c r="L51" s="56"/>
      <c r="M51" s="56"/>
      <c r="N51" s="56"/>
    </row>
    <row r="52" spans="1:14" ht="14.25" x14ac:dyDescent="0.2">
      <c r="A52" s="56"/>
      <c r="B52" s="261" t="s">
        <v>80</v>
      </c>
      <c r="C52" s="165"/>
      <c r="D52" s="165"/>
      <c r="E52" s="165"/>
      <c r="F52" s="165"/>
      <c r="G52" s="165"/>
      <c r="H52" s="165"/>
      <c r="I52" s="165"/>
      <c r="J52" s="165"/>
      <c r="K52" s="165"/>
      <c r="L52" s="165"/>
      <c r="M52" s="165"/>
      <c r="N52" s="56"/>
    </row>
    <row r="53" spans="1:14" ht="14.25" x14ac:dyDescent="0.2">
      <c r="A53" s="56"/>
      <c r="B53" s="261" t="s">
        <v>113</v>
      </c>
      <c r="C53" s="165"/>
      <c r="D53" s="165"/>
      <c r="E53" s="165"/>
      <c r="F53" s="165"/>
      <c r="G53" s="165"/>
      <c r="H53" s="165"/>
      <c r="I53" s="165"/>
      <c r="J53" s="165"/>
      <c r="K53" s="165"/>
      <c r="L53" s="165"/>
      <c r="M53" s="165"/>
      <c r="N53" s="56"/>
    </row>
    <row r="54" spans="1:14" ht="12.75" x14ac:dyDescent="0.2">
      <c r="A54" s="56"/>
      <c r="B54" s="56"/>
      <c r="C54" s="73"/>
      <c r="D54" s="56"/>
      <c r="E54" s="56"/>
      <c r="F54" s="56"/>
      <c r="G54" s="56"/>
      <c r="H54" s="56"/>
      <c r="I54" s="56"/>
      <c r="J54" s="73"/>
      <c r="K54" s="73"/>
      <c r="L54" s="73"/>
      <c r="M54" s="56"/>
      <c r="N54" s="56"/>
    </row>
    <row r="55" spans="1:14" ht="12.75" x14ac:dyDescent="0.2">
      <c r="A55" s="56"/>
      <c r="B55" s="56"/>
      <c r="C55" s="73"/>
      <c r="D55" s="56"/>
      <c r="E55" s="56"/>
      <c r="F55" s="56"/>
      <c r="G55" s="56"/>
      <c r="H55" s="56"/>
      <c r="I55" s="56"/>
      <c r="J55" s="73"/>
      <c r="K55" s="73"/>
      <c r="L55" s="73"/>
      <c r="M55" s="56"/>
      <c r="N55" s="56"/>
    </row>
    <row r="56" spans="1:14" ht="12.75" x14ac:dyDescent="0.2">
      <c r="A56" s="56"/>
      <c r="B56" s="56"/>
      <c r="C56" s="73"/>
      <c r="D56" s="56"/>
      <c r="E56" s="56"/>
      <c r="F56" s="56"/>
      <c r="G56" s="56"/>
      <c r="H56" s="56"/>
      <c r="I56" s="56"/>
      <c r="J56" s="73"/>
      <c r="K56" s="73"/>
      <c r="L56" s="73"/>
      <c r="M56" s="56"/>
      <c r="N56" s="56"/>
    </row>
    <row r="57" spans="1:14" ht="12.75" x14ac:dyDescent="0.2">
      <c r="A57" s="56"/>
      <c r="B57" s="56"/>
      <c r="C57" s="73"/>
      <c r="D57" s="56"/>
      <c r="E57" s="56"/>
      <c r="F57" s="56"/>
      <c r="G57" s="56"/>
      <c r="H57" s="56"/>
      <c r="I57" s="56"/>
      <c r="J57" s="73"/>
      <c r="K57" s="73"/>
      <c r="L57" s="73"/>
      <c r="M57" s="56"/>
      <c r="N57" s="56"/>
    </row>
  </sheetData>
  <mergeCells count="34">
    <mergeCell ref="B52:M52"/>
    <mergeCell ref="B53:M53"/>
    <mergeCell ref="D38:F47"/>
    <mergeCell ref="G38:G42"/>
    <mergeCell ref="H38:H42"/>
    <mergeCell ref="I38:I47"/>
    <mergeCell ref="J38:J47"/>
    <mergeCell ref="K38:K47"/>
    <mergeCell ref="L38:L47"/>
    <mergeCell ref="D37:F37"/>
    <mergeCell ref="G45:G47"/>
    <mergeCell ref="H45:H47"/>
    <mergeCell ref="B50:F50"/>
    <mergeCell ref="I50:M50"/>
    <mergeCell ref="H27:J27"/>
    <mergeCell ref="H29:J29"/>
    <mergeCell ref="H31:J31"/>
    <mergeCell ref="H33:J33"/>
    <mergeCell ref="B35:M35"/>
    <mergeCell ref="H17:J17"/>
    <mergeCell ref="H19:J19"/>
    <mergeCell ref="H21:J21"/>
    <mergeCell ref="H23:J23"/>
    <mergeCell ref="H25:J25"/>
    <mergeCell ref="B8:M8"/>
    <mergeCell ref="L10:M10"/>
    <mergeCell ref="B10:F10"/>
    <mergeCell ref="B11:M11"/>
    <mergeCell ref="H15:J15"/>
    <mergeCell ref="B1:J1"/>
    <mergeCell ref="C4:D4"/>
    <mergeCell ref="C5:D5"/>
    <mergeCell ref="B7:F7"/>
    <mergeCell ref="L7:M7"/>
  </mergeCells>
  <hyperlinks>
    <hyperlink ref="C4" location="C9TempLesson" display="Lesson" xr:uid="{00000000-0004-0000-1300-000000000000}"/>
    <hyperlink ref="C5" location="C10TemplateExample" display="Example" xr:uid="{00000000-0004-0000-1300-000001000000}"/>
    <hyperlink ref="L7" location="C9TemplateTitle" display="Back to top ↑" xr:uid="{00000000-0004-0000-1300-000002000000}"/>
    <hyperlink ref="L10" location="C9TemplateTitle" display="Back to top ↑" xr:uid="{00000000-0004-0000-1300-000003000000}"/>
    <hyperlink ref="B50" location="C8ExerciseTitle" display="← Chapter 8 Exercises: Avoiding Hallucinations" xr:uid="{00000000-0004-0000-1300-000004000000}"/>
    <hyperlink ref="I50" location="C9LegalTitle" display="Chapter 9: Complex Prompts for Legal Services →" xr:uid="{00000000-0004-0000-1300-000005000000}"/>
    <hyperlink ref="B52" location="C9TemplateTitle" display="Back to top ↑" xr:uid="{00000000-0004-0000-1300-000006000000}"/>
    <hyperlink ref="B53" location="IntroTitle" display="Table of Contents" xr:uid="{00000000-0004-0000-1300-000007000000}"/>
  </hyperlinks>
  <pageMargins left="0.7" right="0.7" top="0.75" bottom="0.75" header="0.3" footer="0.3"/>
  <pageSetup paperSize="9" scale="47" fitToHeight="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9900"/>
    <outlinePr summaryBelow="0" summaryRight="0"/>
    <pageSetUpPr fitToPage="1"/>
  </sheetPr>
  <dimension ref="A1:N70"/>
  <sheetViews>
    <sheetView showGridLines="0" workbookViewId="0"/>
  </sheetViews>
  <sheetFormatPr defaultColWidth="12.5703125" defaultRowHeight="15.75" customHeight="1" x14ac:dyDescent="0.2"/>
  <cols>
    <col min="1" max="1" width="5.42578125" customWidth="1"/>
    <col min="2" max="2" width="3" customWidth="1"/>
    <col min="3" max="3" width="4" customWidth="1"/>
    <col min="4" max="4" width="19.85546875" customWidth="1"/>
    <col min="5" max="5" width="1.42578125" customWidth="1"/>
    <col min="6" max="6" width="33.42578125" customWidth="1"/>
    <col min="7" max="7" width="4" customWidth="1"/>
    <col min="8" max="8" width="36.5703125" customWidth="1"/>
    <col min="9" max="9" width="4" customWidth="1"/>
    <col min="10" max="10" width="43" customWidth="1"/>
    <col min="11" max="11" width="4" customWidth="1"/>
    <col min="12" max="12" width="31" customWidth="1"/>
    <col min="13" max="13" width="3" customWidth="1"/>
    <col min="14" max="14" width="5.42578125" customWidth="1"/>
  </cols>
  <sheetData>
    <row r="1" spans="1:14" ht="32.25" customHeight="1" x14ac:dyDescent="0.4">
      <c r="A1" s="67"/>
      <c r="B1" s="229" t="s">
        <v>454</v>
      </c>
      <c r="C1" s="165"/>
      <c r="D1" s="165"/>
      <c r="E1" s="165"/>
      <c r="F1" s="165"/>
      <c r="G1" s="165"/>
      <c r="H1" s="165"/>
      <c r="I1" s="165"/>
      <c r="J1" s="165"/>
      <c r="K1" s="83"/>
      <c r="L1" s="83"/>
      <c r="M1" s="68"/>
      <c r="N1" s="68"/>
    </row>
    <row r="2" spans="1:14" ht="21.75" customHeight="1" x14ac:dyDescent="0.2">
      <c r="A2" s="56"/>
      <c r="B2" s="56"/>
      <c r="C2" s="73"/>
      <c r="D2" s="56"/>
      <c r="E2" s="56"/>
      <c r="F2" s="56"/>
      <c r="G2" s="56"/>
      <c r="H2" s="56"/>
      <c r="I2" s="56"/>
      <c r="J2" s="73"/>
      <c r="K2" s="73"/>
      <c r="L2" s="73"/>
      <c r="M2" s="56"/>
      <c r="N2" s="56"/>
    </row>
    <row r="3" spans="1:14" ht="21.75" customHeight="1" x14ac:dyDescent="0.3">
      <c r="A3" s="56"/>
      <c r="B3" s="69" t="s">
        <v>76</v>
      </c>
      <c r="C3" s="56"/>
      <c r="D3" s="56"/>
      <c r="E3" s="56"/>
      <c r="F3" s="56"/>
      <c r="G3" s="56"/>
      <c r="H3" s="56"/>
      <c r="I3" s="56"/>
      <c r="J3" s="56"/>
      <c r="K3" s="56"/>
      <c r="L3" s="56"/>
      <c r="M3" s="56"/>
      <c r="N3" s="56"/>
    </row>
    <row r="4" spans="1:14" ht="15.75" customHeight="1" x14ac:dyDescent="0.2">
      <c r="A4" s="56"/>
      <c r="B4" s="56"/>
      <c r="C4" s="308" t="s">
        <v>53</v>
      </c>
      <c r="D4" s="165"/>
      <c r="E4" s="56"/>
      <c r="F4" s="56"/>
      <c r="G4" s="56"/>
      <c r="H4" s="56"/>
      <c r="I4" s="56"/>
      <c r="J4" s="56"/>
      <c r="K4" s="56"/>
      <c r="L4" s="56"/>
      <c r="M4" s="56"/>
      <c r="N4" s="56"/>
    </row>
    <row r="5" spans="1:14" ht="15.75" customHeight="1" x14ac:dyDescent="0.2">
      <c r="A5" s="56"/>
      <c r="B5" s="56"/>
      <c r="C5" s="308" t="s">
        <v>395</v>
      </c>
      <c r="D5" s="165"/>
      <c r="E5" s="56"/>
      <c r="F5" s="56"/>
      <c r="G5" s="56"/>
      <c r="H5" s="56"/>
      <c r="I5" s="56"/>
      <c r="J5" s="56"/>
      <c r="K5" s="56"/>
      <c r="L5" s="56"/>
      <c r="M5" s="56"/>
      <c r="N5" s="56"/>
    </row>
    <row r="6" spans="1:14" ht="33.75" customHeight="1" x14ac:dyDescent="0.2">
      <c r="A6" s="56"/>
      <c r="B6" s="71"/>
      <c r="C6" s="71"/>
      <c r="D6" s="71"/>
      <c r="E6" s="71"/>
      <c r="F6" s="71"/>
      <c r="G6" s="71"/>
      <c r="H6" s="71"/>
      <c r="I6" s="71"/>
      <c r="J6" s="71"/>
      <c r="K6" s="71"/>
      <c r="L6" s="71"/>
      <c r="M6" s="71"/>
      <c r="N6" s="56"/>
    </row>
    <row r="7" spans="1:14" ht="29.25" customHeight="1" x14ac:dyDescent="0.2">
      <c r="A7" s="72"/>
      <c r="B7" s="231" t="s">
        <v>53</v>
      </c>
      <c r="C7" s="165"/>
      <c r="D7" s="165"/>
      <c r="E7" s="165"/>
      <c r="F7" s="165"/>
      <c r="G7" s="73"/>
      <c r="H7" s="73"/>
      <c r="I7" s="73"/>
      <c r="J7" s="73"/>
      <c r="K7" s="73"/>
      <c r="L7" s="232" t="s">
        <v>80</v>
      </c>
      <c r="M7" s="170"/>
      <c r="N7" s="73"/>
    </row>
    <row r="8" spans="1:14" ht="12.75" x14ac:dyDescent="0.2">
      <c r="A8" s="55"/>
      <c r="B8" s="317" t="s">
        <v>455</v>
      </c>
      <c r="C8" s="188"/>
      <c r="D8" s="188"/>
      <c r="E8" s="188"/>
      <c r="F8" s="188"/>
      <c r="G8" s="188"/>
      <c r="H8" s="188"/>
      <c r="I8" s="188"/>
      <c r="J8" s="188"/>
      <c r="K8" s="188"/>
      <c r="L8" s="188"/>
      <c r="M8" s="189"/>
      <c r="N8" s="56"/>
    </row>
    <row r="9" spans="1:14" ht="33.75" customHeight="1" x14ac:dyDescent="0.2">
      <c r="A9" s="56"/>
      <c r="B9" s="71"/>
      <c r="C9" s="84"/>
      <c r="D9" s="71"/>
      <c r="E9" s="71"/>
      <c r="F9" s="71"/>
      <c r="G9" s="71"/>
      <c r="H9" s="71"/>
      <c r="I9" s="71"/>
      <c r="J9" s="84"/>
      <c r="K9" s="84"/>
      <c r="L9" s="84"/>
      <c r="M9" s="71"/>
      <c r="N9" s="56"/>
    </row>
    <row r="10" spans="1:14" ht="29.25" customHeight="1" x14ac:dyDescent="0.2">
      <c r="A10" s="55"/>
      <c r="B10" s="231" t="s">
        <v>395</v>
      </c>
      <c r="C10" s="165"/>
      <c r="D10" s="165"/>
      <c r="E10" s="165"/>
      <c r="F10" s="165"/>
      <c r="G10" s="56"/>
      <c r="H10" s="56"/>
      <c r="I10" s="56"/>
      <c r="J10" s="73"/>
      <c r="K10" s="73"/>
      <c r="L10" s="232" t="s">
        <v>80</v>
      </c>
      <c r="M10" s="170"/>
      <c r="N10" s="56"/>
    </row>
    <row r="11" spans="1:14" ht="13.5" x14ac:dyDescent="0.25">
      <c r="A11" s="55"/>
      <c r="B11" s="284" t="s">
        <v>456</v>
      </c>
      <c r="C11" s="165"/>
      <c r="D11" s="165"/>
      <c r="E11" s="165"/>
      <c r="F11" s="165"/>
      <c r="G11" s="165"/>
      <c r="H11" s="165"/>
      <c r="I11" s="165"/>
      <c r="J11" s="165"/>
      <c r="K11" s="165"/>
      <c r="L11" s="165"/>
      <c r="M11" s="170"/>
      <c r="N11" s="56"/>
    </row>
    <row r="12" spans="1:14" ht="8.25" customHeight="1" x14ac:dyDescent="0.2">
      <c r="A12" s="55"/>
      <c r="B12" s="56"/>
      <c r="C12" s="73"/>
      <c r="D12" s="56"/>
      <c r="E12" s="56"/>
      <c r="F12" s="56"/>
      <c r="G12" s="56"/>
      <c r="H12" s="56"/>
      <c r="I12" s="56"/>
      <c r="J12" s="73"/>
      <c r="K12" s="73"/>
      <c r="L12" s="73"/>
      <c r="M12" s="55"/>
      <c r="N12" s="56"/>
    </row>
    <row r="13" spans="1:14" ht="15.75" customHeight="1" x14ac:dyDescent="0.25">
      <c r="A13" s="55"/>
      <c r="B13" s="56"/>
      <c r="C13" s="73"/>
      <c r="D13" s="139" t="s">
        <v>398</v>
      </c>
      <c r="E13" s="56"/>
      <c r="F13" s="139" t="s">
        <v>399</v>
      </c>
      <c r="G13" s="56"/>
      <c r="H13" s="140" t="s">
        <v>395</v>
      </c>
      <c r="I13" s="73"/>
      <c r="J13" s="73"/>
      <c r="K13" s="56"/>
      <c r="L13" s="141" t="s">
        <v>457</v>
      </c>
      <c r="M13" s="55"/>
      <c r="N13" s="56"/>
    </row>
    <row r="14" spans="1:14" ht="3.75" customHeight="1" x14ac:dyDescent="0.2">
      <c r="A14" s="55"/>
      <c r="B14" s="56"/>
      <c r="C14" s="73"/>
      <c r="D14" s="56"/>
      <c r="E14" s="56"/>
      <c r="F14" s="77"/>
      <c r="G14" s="56"/>
      <c r="H14" s="142"/>
      <c r="I14" s="142"/>
      <c r="J14" s="142"/>
      <c r="K14" s="56"/>
      <c r="L14" s="77"/>
      <c r="M14" s="55"/>
      <c r="N14" s="56"/>
    </row>
    <row r="15" spans="1:14" ht="51" x14ac:dyDescent="0.2">
      <c r="A15" s="55"/>
      <c r="B15" s="56"/>
      <c r="C15" s="143" t="s">
        <v>266</v>
      </c>
      <c r="D15" s="144" t="s">
        <v>401</v>
      </c>
      <c r="E15" s="58"/>
      <c r="F15" s="92" t="s">
        <v>402</v>
      </c>
      <c r="G15" s="58"/>
      <c r="H15" s="309" t="s">
        <v>403</v>
      </c>
      <c r="I15" s="292"/>
      <c r="J15" s="237"/>
      <c r="K15" s="58"/>
      <c r="L15" s="145" t="s">
        <v>458</v>
      </c>
      <c r="M15" s="55"/>
      <c r="N15" s="56"/>
    </row>
    <row r="16" spans="1:14" ht="15.75" customHeight="1" x14ac:dyDescent="0.2">
      <c r="A16" s="55"/>
      <c r="B16" s="56"/>
      <c r="C16" s="73"/>
      <c r="D16" s="73"/>
      <c r="E16" s="56"/>
      <c r="F16" s="142"/>
      <c r="G16" s="56"/>
      <c r="H16" s="142"/>
      <c r="I16" s="142"/>
      <c r="J16" s="142"/>
      <c r="K16" s="56"/>
      <c r="L16" s="142"/>
      <c r="M16" s="55"/>
      <c r="N16" s="56"/>
    </row>
    <row r="17" spans="1:14" ht="51" x14ac:dyDescent="0.2">
      <c r="A17" s="55"/>
      <c r="B17" s="56"/>
      <c r="C17" s="143" t="s">
        <v>268</v>
      </c>
      <c r="D17" s="144" t="s">
        <v>405</v>
      </c>
      <c r="E17" s="58"/>
      <c r="F17" s="92" t="s">
        <v>406</v>
      </c>
      <c r="G17" s="58"/>
      <c r="H17" s="309" t="s">
        <v>459</v>
      </c>
      <c r="I17" s="292"/>
      <c r="J17" s="237"/>
      <c r="K17" s="58"/>
      <c r="L17" s="145" t="s">
        <v>408</v>
      </c>
      <c r="M17" s="55"/>
      <c r="N17" s="56"/>
    </row>
    <row r="18" spans="1:14" ht="15.75" customHeight="1" x14ac:dyDescent="0.2">
      <c r="A18" s="55"/>
      <c r="B18" s="56"/>
      <c r="C18" s="56"/>
      <c r="D18" s="56"/>
      <c r="E18" s="56"/>
      <c r="F18" s="77"/>
      <c r="G18" s="56"/>
      <c r="H18" s="77"/>
      <c r="I18" s="77"/>
      <c r="J18" s="77"/>
      <c r="K18" s="56"/>
      <c r="L18" s="77"/>
      <c r="M18" s="55"/>
      <c r="N18" s="56"/>
    </row>
    <row r="19" spans="1:14" ht="25.5" x14ac:dyDescent="0.2">
      <c r="A19" s="55"/>
      <c r="B19" s="56"/>
      <c r="C19" s="143" t="s">
        <v>270</v>
      </c>
      <c r="D19" s="144" t="s">
        <v>409</v>
      </c>
      <c r="E19" s="58"/>
      <c r="F19" s="92" t="s">
        <v>410</v>
      </c>
      <c r="G19" s="58"/>
      <c r="H19" s="318"/>
      <c r="I19" s="292"/>
      <c r="J19" s="237"/>
      <c r="K19" s="58"/>
      <c r="L19" s="145" t="s">
        <v>412</v>
      </c>
      <c r="M19" s="55"/>
      <c r="N19" s="56"/>
    </row>
    <row r="20" spans="1:14" ht="15.75" customHeight="1" x14ac:dyDescent="0.2">
      <c r="A20" s="55"/>
      <c r="B20" s="56"/>
      <c r="C20" s="56"/>
      <c r="D20" s="56"/>
      <c r="E20" s="56"/>
      <c r="F20" s="77"/>
      <c r="G20" s="56"/>
      <c r="H20" s="77"/>
      <c r="I20" s="77"/>
      <c r="J20" s="77"/>
      <c r="K20" s="56"/>
      <c r="L20" s="77"/>
      <c r="M20" s="55"/>
      <c r="N20" s="56"/>
    </row>
    <row r="21" spans="1:14" ht="76.5" x14ac:dyDescent="0.2">
      <c r="A21" s="55"/>
      <c r="B21" s="56"/>
      <c r="C21" s="143" t="s">
        <v>314</v>
      </c>
      <c r="D21" s="144" t="s">
        <v>422</v>
      </c>
      <c r="E21" s="58"/>
      <c r="F21" s="92" t="s">
        <v>423</v>
      </c>
      <c r="G21" s="58"/>
      <c r="H21" s="309" t="s">
        <v>460</v>
      </c>
      <c r="I21" s="292"/>
      <c r="J21" s="237"/>
      <c r="K21" s="58"/>
      <c r="L21" s="145" t="s">
        <v>461</v>
      </c>
      <c r="M21" s="55"/>
      <c r="N21" s="56"/>
    </row>
    <row r="22" spans="1:14" ht="15.75" customHeight="1" x14ac:dyDescent="0.2">
      <c r="A22" s="55"/>
      <c r="B22" s="56"/>
      <c r="C22" s="73"/>
      <c r="D22" s="56"/>
      <c r="E22" s="56"/>
      <c r="F22" s="77"/>
      <c r="G22" s="56"/>
      <c r="H22" s="142"/>
      <c r="I22" s="142"/>
      <c r="J22" s="142"/>
      <c r="K22" s="56"/>
      <c r="L22" s="142"/>
      <c r="M22" s="55"/>
      <c r="N22" s="56"/>
    </row>
    <row r="23" spans="1:14" ht="63.75" customHeight="1" x14ac:dyDescent="0.2">
      <c r="A23" s="55"/>
      <c r="B23" s="56"/>
      <c r="C23" s="143" t="s">
        <v>417</v>
      </c>
      <c r="D23" s="144" t="s">
        <v>77</v>
      </c>
      <c r="E23" s="58"/>
      <c r="F23" s="256" t="s">
        <v>462</v>
      </c>
      <c r="G23" s="58"/>
      <c r="H23" s="313" t="s">
        <v>463</v>
      </c>
      <c r="I23" s="165"/>
      <c r="J23" s="218"/>
      <c r="K23" s="58"/>
      <c r="L23" s="314" t="s">
        <v>464</v>
      </c>
      <c r="M23" s="55"/>
      <c r="N23" s="56"/>
    </row>
    <row r="24" spans="1:14" ht="63.75" customHeight="1" x14ac:dyDescent="0.2">
      <c r="A24" s="55"/>
      <c r="B24" s="56"/>
      <c r="C24" s="73"/>
      <c r="D24" s="73"/>
      <c r="E24" s="58"/>
      <c r="F24" s="218"/>
      <c r="G24" s="58"/>
      <c r="H24" s="165"/>
      <c r="I24" s="165"/>
      <c r="J24" s="218"/>
      <c r="K24" s="58"/>
      <c r="L24" s="218"/>
      <c r="M24" s="55"/>
      <c r="N24" s="56"/>
    </row>
    <row r="25" spans="1:14" ht="63.75" customHeight="1" x14ac:dyDescent="0.2">
      <c r="A25" s="55"/>
      <c r="B25" s="56"/>
      <c r="C25" s="73"/>
      <c r="D25" s="73"/>
      <c r="E25" s="58"/>
      <c r="F25" s="218"/>
      <c r="G25" s="58"/>
      <c r="H25" s="165"/>
      <c r="I25" s="165"/>
      <c r="J25" s="218"/>
      <c r="K25" s="58"/>
      <c r="L25" s="218"/>
      <c r="M25" s="55"/>
      <c r="N25" s="56"/>
    </row>
    <row r="26" spans="1:14" ht="63.75" customHeight="1" x14ac:dyDescent="0.2">
      <c r="A26" s="55"/>
      <c r="B26" s="56"/>
      <c r="C26" s="73"/>
      <c r="D26" s="73"/>
      <c r="E26" s="58"/>
      <c r="F26" s="237"/>
      <c r="G26" s="58"/>
      <c r="H26" s="292"/>
      <c r="I26" s="292"/>
      <c r="J26" s="237"/>
      <c r="K26" s="58"/>
      <c r="L26" s="237"/>
      <c r="M26" s="55"/>
      <c r="N26" s="56"/>
    </row>
    <row r="27" spans="1:14" ht="12.75" x14ac:dyDescent="0.2">
      <c r="A27" s="55"/>
      <c r="B27" s="56"/>
      <c r="C27" s="73"/>
      <c r="D27" s="56"/>
      <c r="E27" s="56"/>
      <c r="F27" s="77"/>
      <c r="G27" s="56"/>
      <c r="H27" s="142"/>
      <c r="I27" s="142"/>
      <c r="J27" s="142"/>
      <c r="K27" s="56"/>
      <c r="L27" s="142"/>
      <c r="M27" s="55"/>
      <c r="N27" s="56"/>
    </row>
    <row r="28" spans="1:14" ht="63.75" customHeight="1" x14ac:dyDescent="0.2">
      <c r="A28" s="55"/>
      <c r="B28" s="56"/>
      <c r="C28" s="143" t="s">
        <v>421</v>
      </c>
      <c r="D28" s="144" t="s">
        <v>413</v>
      </c>
      <c r="E28" s="58"/>
      <c r="F28" s="256" t="s">
        <v>414</v>
      </c>
      <c r="G28" s="58"/>
      <c r="H28" s="313" t="s">
        <v>465</v>
      </c>
      <c r="I28" s="165"/>
      <c r="J28" s="218"/>
      <c r="K28" s="58"/>
      <c r="L28" s="314" t="s">
        <v>416</v>
      </c>
      <c r="M28" s="55"/>
      <c r="N28" s="56"/>
    </row>
    <row r="29" spans="1:14" ht="63.75" customHeight="1" x14ac:dyDescent="0.2">
      <c r="A29" s="55"/>
      <c r="B29" s="56"/>
      <c r="C29" s="73"/>
      <c r="D29" s="73"/>
      <c r="E29" s="58"/>
      <c r="F29" s="237"/>
      <c r="G29" s="58"/>
      <c r="H29" s="292"/>
      <c r="I29" s="292"/>
      <c r="J29" s="237"/>
      <c r="K29" s="58"/>
      <c r="L29" s="237"/>
      <c r="M29" s="55"/>
      <c r="N29" s="56"/>
    </row>
    <row r="30" spans="1:14" ht="12.75" x14ac:dyDescent="0.2">
      <c r="A30" s="55"/>
      <c r="B30" s="56"/>
      <c r="C30" s="73"/>
      <c r="D30" s="56"/>
      <c r="E30" s="56"/>
      <c r="F30" s="77"/>
      <c r="G30" s="56"/>
      <c r="H30" s="142"/>
      <c r="I30" s="142"/>
      <c r="J30" s="142"/>
      <c r="K30" s="56"/>
      <c r="L30" s="142"/>
      <c r="M30" s="55"/>
      <c r="N30" s="56"/>
    </row>
    <row r="31" spans="1:14" ht="63.75" customHeight="1" x14ac:dyDescent="0.2">
      <c r="A31" s="55"/>
      <c r="B31" s="56"/>
      <c r="C31" s="143" t="s">
        <v>426</v>
      </c>
      <c r="D31" s="144" t="s">
        <v>427</v>
      </c>
      <c r="E31" s="58"/>
      <c r="F31" s="92" t="s">
        <v>428</v>
      </c>
      <c r="G31" s="58"/>
      <c r="H31" s="318"/>
      <c r="I31" s="292"/>
      <c r="J31" s="237"/>
      <c r="K31" s="58"/>
      <c r="L31" s="145" t="s">
        <v>430</v>
      </c>
      <c r="M31" s="55"/>
      <c r="N31" s="56"/>
    </row>
    <row r="32" spans="1:14" ht="12.75" x14ac:dyDescent="0.2">
      <c r="A32" s="55"/>
      <c r="B32" s="56"/>
      <c r="C32" s="73"/>
      <c r="D32" s="56"/>
      <c r="E32" s="56"/>
      <c r="F32" s="77"/>
      <c r="G32" s="56"/>
      <c r="H32" s="142"/>
      <c r="I32" s="142"/>
      <c r="J32" s="142"/>
      <c r="K32" s="56"/>
      <c r="L32" s="142"/>
      <c r="M32" s="55"/>
      <c r="N32" s="56"/>
    </row>
    <row r="33" spans="1:14" ht="63.75" customHeight="1" x14ac:dyDescent="0.2">
      <c r="A33" s="55"/>
      <c r="B33" s="56"/>
      <c r="C33" s="143" t="s">
        <v>431</v>
      </c>
      <c r="D33" s="144" t="s">
        <v>466</v>
      </c>
      <c r="E33" s="58"/>
      <c r="F33" s="92" t="s">
        <v>433</v>
      </c>
      <c r="G33" s="58"/>
      <c r="H33" s="309" t="s">
        <v>467</v>
      </c>
      <c r="I33" s="292"/>
      <c r="J33" s="237"/>
      <c r="K33" s="58"/>
      <c r="L33" s="145" t="s">
        <v>468</v>
      </c>
      <c r="M33" s="55"/>
      <c r="N33" s="56"/>
    </row>
    <row r="34" spans="1:14" ht="12.75" x14ac:dyDescent="0.2">
      <c r="A34" s="55"/>
      <c r="B34" s="56"/>
      <c r="C34" s="73"/>
      <c r="D34" s="56"/>
      <c r="E34" s="56"/>
      <c r="F34" s="77"/>
      <c r="G34" s="56"/>
      <c r="H34" s="142"/>
      <c r="I34" s="142"/>
      <c r="J34" s="142"/>
      <c r="K34" s="56"/>
      <c r="L34" s="142"/>
      <c r="M34" s="55"/>
      <c r="N34" s="56"/>
    </row>
    <row r="35" spans="1:14" ht="101.25" customHeight="1" x14ac:dyDescent="0.2">
      <c r="A35" s="55"/>
      <c r="B35" s="56"/>
      <c r="C35" s="143" t="s">
        <v>436</v>
      </c>
      <c r="D35" s="144" t="s">
        <v>469</v>
      </c>
      <c r="E35" s="58"/>
      <c r="F35" s="256" t="s">
        <v>438</v>
      </c>
      <c r="G35" s="58"/>
      <c r="H35" s="313" t="s">
        <v>470</v>
      </c>
      <c r="I35" s="165"/>
      <c r="J35" s="218"/>
      <c r="K35" s="58"/>
      <c r="L35" s="314" t="s">
        <v>412</v>
      </c>
      <c r="M35" s="55"/>
      <c r="N35" s="56"/>
    </row>
    <row r="36" spans="1:14" ht="101.25" customHeight="1" x14ac:dyDescent="0.2">
      <c r="A36" s="55"/>
      <c r="B36" s="56"/>
      <c r="C36" s="73"/>
      <c r="D36" s="73"/>
      <c r="E36" s="58"/>
      <c r="F36" s="237"/>
      <c r="G36" s="58"/>
      <c r="H36" s="292"/>
      <c r="I36" s="292"/>
      <c r="J36" s="237"/>
      <c r="K36" s="58"/>
      <c r="L36" s="237"/>
      <c r="M36" s="55"/>
      <c r="N36" s="56"/>
    </row>
    <row r="37" spans="1:14" ht="15.75" customHeight="1" x14ac:dyDescent="0.2">
      <c r="A37" s="55"/>
      <c r="B37" s="56"/>
      <c r="C37" s="73"/>
      <c r="D37" s="56"/>
      <c r="E37" s="56"/>
      <c r="F37" s="77"/>
      <c r="G37" s="56"/>
      <c r="H37" s="142"/>
      <c r="I37" s="142"/>
      <c r="J37" s="142"/>
      <c r="K37" s="56"/>
      <c r="L37" s="142"/>
      <c r="M37" s="55"/>
      <c r="N37" s="56"/>
    </row>
    <row r="38" spans="1:14" ht="127.5" x14ac:dyDescent="0.2">
      <c r="A38" s="55"/>
      <c r="B38" s="56"/>
      <c r="C38" s="143" t="s">
        <v>441</v>
      </c>
      <c r="D38" s="144" t="s">
        <v>442</v>
      </c>
      <c r="E38" s="58"/>
      <c r="F38" s="92" t="s">
        <v>471</v>
      </c>
      <c r="G38" s="58"/>
      <c r="H38" s="309" t="s">
        <v>472</v>
      </c>
      <c r="I38" s="292"/>
      <c r="J38" s="237"/>
      <c r="K38" s="58"/>
      <c r="L38" s="145" t="s">
        <v>445</v>
      </c>
      <c r="M38" s="55"/>
      <c r="N38" s="56"/>
    </row>
    <row r="39" spans="1:14" ht="15.75" customHeight="1" x14ac:dyDescent="0.2">
      <c r="A39" s="55"/>
      <c r="B39" s="56"/>
      <c r="C39" s="73"/>
      <c r="D39" s="56"/>
      <c r="E39" s="56"/>
      <c r="F39" s="56"/>
      <c r="G39" s="56"/>
      <c r="H39" s="56"/>
      <c r="I39" s="56"/>
      <c r="J39" s="73"/>
      <c r="K39" s="73"/>
      <c r="L39" s="73"/>
      <c r="M39" s="55"/>
      <c r="N39" s="56"/>
    </row>
    <row r="40" spans="1:14" ht="15" x14ac:dyDescent="0.25">
      <c r="A40" s="55"/>
      <c r="B40" s="235" t="s">
        <v>473</v>
      </c>
      <c r="C40" s="165"/>
      <c r="D40" s="165"/>
      <c r="E40" s="165"/>
      <c r="F40" s="165"/>
      <c r="G40" s="165"/>
      <c r="H40" s="165"/>
      <c r="I40" s="165"/>
      <c r="J40" s="165"/>
      <c r="K40" s="165"/>
      <c r="L40" s="165"/>
      <c r="M40" s="170"/>
      <c r="N40" s="56"/>
    </row>
    <row r="41" spans="1:14" ht="15.75" customHeight="1" x14ac:dyDescent="0.2">
      <c r="A41" s="55"/>
      <c r="B41" s="56"/>
      <c r="C41" s="73"/>
      <c r="D41" s="56"/>
      <c r="E41" s="56"/>
      <c r="F41" s="56"/>
      <c r="G41" s="56"/>
      <c r="H41" s="56"/>
      <c r="I41" s="56"/>
      <c r="J41" s="73"/>
      <c r="K41" s="73"/>
      <c r="L41" s="73"/>
      <c r="M41" s="55"/>
      <c r="N41" s="56"/>
    </row>
    <row r="42" spans="1:14" ht="15" x14ac:dyDescent="0.25">
      <c r="A42" s="55"/>
      <c r="B42" s="56"/>
      <c r="C42" s="73"/>
      <c r="D42" s="315" t="s">
        <v>447</v>
      </c>
      <c r="E42" s="165"/>
      <c r="F42" s="165"/>
      <c r="G42" s="56"/>
      <c r="H42" s="86" t="s">
        <v>221</v>
      </c>
      <c r="I42" s="56"/>
      <c r="J42" s="86" t="s">
        <v>449</v>
      </c>
      <c r="K42" s="56"/>
      <c r="L42" s="86" t="s">
        <v>91</v>
      </c>
      <c r="M42" s="55"/>
      <c r="N42" s="56"/>
    </row>
    <row r="43" spans="1:14" ht="84" customHeight="1" x14ac:dyDescent="0.2">
      <c r="A43" s="55"/>
      <c r="B43" s="56"/>
      <c r="C43" s="73"/>
      <c r="D43" s="316" t="str">
        <f>CONCATENATE(H15," ",H17,IF(ISBLANK(H19),"",CHAR(10)&amp;CHAR(10)&amp;H19),IF(ISBLANK(H21),"",CHAR(10)&amp;CHAR(10)&amp;H21),IF(ISBLANK(H23),"",CHAR(10)&amp;CHAR(10)&amp;H23),IF(ISBLANK(H28),"",CHAR(10)&amp;CHAR(10)&amp;H28),IF(ISBLANK(H31),"",CHAR(10)&amp;CHAR(10)&amp;H31),IF(ISBLANK(H33),"",CHAR(10)&amp;CHAR(10)&amp;H33),IF(ISBLANK(H35),"",CHAR(10)&amp;CHAR(10)&amp;H35),IF(ISBLANK(H38),"",CHAR(10)&amp;H38))</f>
        <v>User: You are an expert lawyer.
Here is some research that's been compiled. Use it to answer a legal question from the user.
&lt;legal_research&gt;
{{LEGAL_RESEARCH}}
&lt;/legal_research&gt;
When citing the legal research in your answer, please use brackets containing the search index ID, followed by a period. Put these at the end of the sentence that's doing the citing. Examples of proper citation format:
&lt;examples&gt;
&lt;example&gt;
The statute of limitations expires after 10 years for crimes like this. [3].
&lt;/example&gt;
&lt;example&gt;
However, the protection does not apply when it has been specifically waived by both parties. [5].
&lt;/example&gt;
&lt;/examples&gt;
Write a clear, concise answer to this question:
&lt;question&gt;
{{QUESTION}}
&lt;/question&gt;
It should be no more than a couple of paragraphs. If possible, it should conclude with a single sentence directly answering the user's question. However, if there is not sufficient information in the compiled research to produce such an answer, you may demur and write "Sorry, I do not have sufficient information at hand to answer this question.".
Before you answer, pull out the most relevant quotes from the research in &lt;relevant_quotes&gt; tags.
Put your two-paragraph response in &lt;answer&gt; tags.
Assistant: &lt;relevant_quotes&gt;</v>
      </c>
      <c r="E43" s="270"/>
      <c r="F43" s="271"/>
      <c r="G43" s="255" t="s">
        <v>188</v>
      </c>
      <c r="H43" s="256" t="s">
        <v>474</v>
      </c>
      <c r="I43" s="257" t="s">
        <v>190</v>
      </c>
      <c r="J43" s="240" t="str">
        <f>SUBSTITUTE(SUBSTITUTE(D43,"{{QUESTION}}",H43),"{{LEGAL_RESEARCH}}",H47)</f>
        <v>User: You are an expert lawyer.
Here is some research that's been compiled. Use it to answer a legal question from the user.
&lt;legal_research&gt;
&lt;search_results&gt;
&lt;search_result id=1&gt;
The animal health industry became caught up in a number of patent and trademark lawsuits during the past year. In 1994, Barclay Slocum obtained patents for the tibial plateau leveling osteotomy procedure, which is used in the treatment of dogs with cranial cruciate ligament rupture, and for the devices used in the procedure. During 2006, Slocum Enterprises filed a patent infringement suit against New Generation Devices, arguing that the Unity Cruciate Plate manufactured by New Generation infringed on the patent for the Slocum TPLO plate. However, the court never reached a decision on the issue of patent infringement, ruling that it did not have jurisdiction on the basis of the small number of plates sold in the state in which the case was filed and the information provided on a Web site maintained by Slocum Enterprises. Other patent battles waged during 2006 concerned the use of laser technology for onychectomy in cats, pet identification chips, pig vaccines, and pet “deshedding” tools.
&lt;/search_result&gt;
&lt;search_result id=2&gt;
In Canada, the British Columbia Veterinary Medical Association brought suit against a nonveterinarian, claiming that he engaged in cutting or otherwise removing hooks from horses' teeth and floating horses' teeth with power and manual tools, provided advice and diagnoses in return for a fee, and held himself out as being qualified and willing to provide treatment with respect to these activities. The court held that the intention of the legislature in passing the Veterinary Profession Act was the protection of the public and animals and further held that monopolistic statutes serve the purpose of protecting the public. In addition, the court concluded that dentistry, at its core, relates to the health of the teeth and gums; is distinct from cosmetic and other types of care of animals; and, therefore, falls under the definition of the practice of veterinary medicine. The nonveterinarian was enjoined from providing services without a veterinarian supervising the procedures.
&lt;/search_result&gt;
&lt;search_result id=3&gt;
The aftermath of Hurricane Katrina, which hit the Gulf Coast of the United States during 2005, spurred changes to the way animals are treated during natural disasters. In 2006, Hawaii, Louisiana, and New Hampshire all enacted laws that address issues regarding the care of animals during disasters, such as providing shelters for pets and allowing service animals to be kept with the people they serve. In addition, Congress passed, and the President signed, the Pet Evacuation and Transportation Standards Act during 2006, which requires state and local emergency preparedness authorities to include in their evacuation plans information on how they will accommodate household pets and service animals in case of a disaster. California passed a law that will require its Office of Emergency Services, Department of Agriculture, and other agencies involved with disaster response preparation to develop a plan for the needs of service animals, livestock, equids, and household pets in the event of a disaster or major emergency.
&lt;/search_result&gt;
&lt;/search_results&gt;
&lt;/legal_research&gt;
When citing the legal research in your answer, please use brackets containing the search index ID, followed by a period. Put these at the end of the sentence that's doing the citing. Examples of proper citation format:
&lt;examples&gt;
&lt;example&gt;
The statute of limitations expires after 10 years for crimes like this. [3].
&lt;/example&gt;
&lt;example&gt;
However, the protection does not apply when it has been specifically waived by both parties. [5].
&lt;/example&gt;
&lt;/examples&gt;
Write a clear, concise answer to this question:
&lt;question&gt;
Are there any laws about what to do with pets during a hurricane?
&lt;/question&gt;
It should be no more than a couple of paragraphs. If possible, it should conclude with a single sentence directly answering the user's question. However, if there is not sufficient information in the compiled research to produce such an answer, you may demur and write "Sorry, I do not have sufficient information at hand to answer this question.".
Before you answer, pull out the most relevant quotes from the research in &lt;relevant_quotes&gt; tags.
Put your two-paragraph response in &lt;answer&gt; tags.
Assistant: &lt;relevant_quotes&gt;</v>
      </c>
      <c r="K43" s="259" t="s">
        <v>93</v>
      </c>
      <c r="L43" s="312" t="e">
        <f ca="1">claudeMessages(J43, 'Tutorial How-To'!$E$37,"temperature",0)</f>
        <v>#NAME?</v>
      </c>
      <c r="M43" s="55"/>
      <c r="N43" s="56"/>
    </row>
    <row r="44" spans="1:14" ht="15.75" customHeight="1" x14ac:dyDescent="0.2">
      <c r="A44" s="55"/>
      <c r="B44" s="56"/>
      <c r="C44" s="73"/>
      <c r="D44" s="272"/>
      <c r="E44" s="165"/>
      <c r="F44" s="273"/>
      <c r="G44" s="218"/>
      <c r="H44" s="237"/>
      <c r="I44" s="218"/>
      <c r="J44" s="218"/>
      <c r="K44" s="218"/>
      <c r="L44" s="218"/>
      <c r="M44" s="55"/>
      <c r="N44" s="56"/>
    </row>
    <row r="45" spans="1:14" ht="12.75" x14ac:dyDescent="0.2">
      <c r="A45" s="55"/>
      <c r="B45" s="56"/>
      <c r="C45" s="73"/>
      <c r="D45" s="272"/>
      <c r="E45" s="165"/>
      <c r="F45" s="273"/>
      <c r="G45" s="56"/>
      <c r="H45" s="56"/>
      <c r="I45" s="218"/>
      <c r="J45" s="218"/>
      <c r="K45" s="218"/>
      <c r="L45" s="218"/>
      <c r="M45" s="55"/>
      <c r="N45" s="56"/>
    </row>
    <row r="46" spans="1:14" ht="22.5" customHeight="1" x14ac:dyDescent="0.25">
      <c r="A46" s="55"/>
      <c r="B46" s="56"/>
      <c r="C46" s="73"/>
      <c r="D46" s="272"/>
      <c r="E46" s="165"/>
      <c r="F46" s="273"/>
      <c r="G46" s="56"/>
      <c r="H46" s="86" t="s">
        <v>475</v>
      </c>
      <c r="I46" s="218"/>
      <c r="J46" s="218"/>
      <c r="K46" s="218"/>
      <c r="L46" s="218"/>
      <c r="M46" s="55"/>
      <c r="N46" s="56"/>
    </row>
    <row r="47" spans="1:14" ht="12.75" x14ac:dyDescent="0.2">
      <c r="A47" s="55"/>
      <c r="B47" s="56"/>
      <c r="C47" s="73"/>
      <c r="D47" s="272"/>
      <c r="E47" s="165"/>
      <c r="F47" s="273"/>
      <c r="G47" s="255" t="s">
        <v>188</v>
      </c>
      <c r="H47" s="256" t="s">
        <v>476</v>
      </c>
      <c r="I47" s="218"/>
      <c r="J47" s="218"/>
      <c r="K47" s="218"/>
      <c r="L47" s="218"/>
      <c r="M47" s="55"/>
      <c r="N47" s="56"/>
    </row>
    <row r="48" spans="1:14" ht="8.25" customHeight="1" x14ac:dyDescent="0.2">
      <c r="A48" s="55"/>
      <c r="B48" s="56"/>
      <c r="C48" s="73"/>
      <c r="D48" s="272"/>
      <c r="E48" s="165"/>
      <c r="F48" s="273"/>
      <c r="G48" s="218"/>
      <c r="H48" s="218"/>
      <c r="I48" s="218"/>
      <c r="J48" s="218"/>
      <c r="K48" s="218"/>
      <c r="L48" s="218"/>
      <c r="M48" s="55"/>
      <c r="N48" s="56"/>
    </row>
    <row r="49" spans="1:14" ht="12.75" x14ac:dyDescent="0.2">
      <c r="A49" s="55"/>
      <c r="B49" s="56"/>
      <c r="C49" s="73"/>
      <c r="D49" s="272"/>
      <c r="E49" s="165"/>
      <c r="F49" s="273"/>
      <c r="G49" s="218"/>
      <c r="H49" s="218"/>
      <c r="I49" s="218"/>
      <c r="J49" s="218"/>
      <c r="K49" s="218"/>
      <c r="L49" s="218"/>
      <c r="M49" s="55"/>
      <c r="N49" s="56"/>
    </row>
    <row r="50" spans="1:14" ht="65.25" customHeight="1" x14ac:dyDescent="0.2">
      <c r="A50" s="55"/>
      <c r="B50" s="56"/>
      <c r="C50" s="73"/>
      <c r="D50" s="272"/>
      <c r="E50" s="165"/>
      <c r="F50" s="273"/>
      <c r="G50" s="218"/>
      <c r="H50" s="218"/>
      <c r="I50" s="218"/>
      <c r="J50" s="218"/>
      <c r="K50" s="218"/>
      <c r="L50" s="218"/>
      <c r="M50" s="55"/>
      <c r="N50" s="56"/>
    </row>
    <row r="51" spans="1:14" ht="65.25" customHeight="1" x14ac:dyDescent="0.2">
      <c r="A51" s="55"/>
      <c r="B51" s="56"/>
      <c r="C51" s="73"/>
      <c r="D51" s="272"/>
      <c r="E51" s="165"/>
      <c r="F51" s="273"/>
      <c r="G51" s="218"/>
      <c r="H51" s="218"/>
      <c r="I51" s="218"/>
      <c r="J51" s="218"/>
      <c r="K51" s="218"/>
      <c r="L51" s="218"/>
      <c r="M51" s="55"/>
      <c r="N51" s="56"/>
    </row>
    <row r="52" spans="1:14" ht="8.25" customHeight="1" x14ac:dyDescent="0.2">
      <c r="A52" s="55"/>
      <c r="B52" s="56"/>
      <c r="C52" s="73"/>
      <c r="D52" s="272"/>
      <c r="E52" s="165"/>
      <c r="F52" s="273"/>
      <c r="G52" s="218"/>
      <c r="H52" s="218"/>
      <c r="I52" s="218"/>
      <c r="J52" s="218"/>
      <c r="K52" s="218"/>
      <c r="L52" s="218"/>
      <c r="M52" s="55"/>
      <c r="N52" s="56"/>
    </row>
    <row r="53" spans="1:14" ht="15.75" customHeight="1" x14ac:dyDescent="0.2">
      <c r="A53" s="55"/>
      <c r="B53" s="56"/>
      <c r="C53" s="73"/>
      <c r="D53" s="272"/>
      <c r="E53" s="165"/>
      <c r="F53" s="273"/>
      <c r="G53" s="218"/>
      <c r="H53" s="218"/>
      <c r="I53" s="218"/>
      <c r="J53" s="218"/>
      <c r="K53" s="218"/>
      <c r="L53" s="218"/>
      <c r="M53" s="55"/>
      <c r="N53" s="56"/>
    </row>
    <row r="54" spans="1:14" ht="82.5" customHeight="1" x14ac:dyDescent="0.2">
      <c r="A54" s="55"/>
      <c r="B54" s="56"/>
      <c r="C54" s="73"/>
      <c r="D54" s="272"/>
      <c r="E54" s="165"/>
      <c r="F54" s="273"/>
      <c r="G54" s="218"/>
      <c r="H54" s="218"/>
      <c r="I54" s="218"/>
      <c r="J54" s="218"/>
      <c r="K54" s="218"/>
      <c r="L54" s="218"/>
      <c r="M54" s="55"/>
      <c r="N54" s="56"/>
    </row>
    <row r="55" spans="1:14" ht="82.5" customHeight="1" x14ac:dyDescent="0.2">
      <c r="A55" s="55"/>
      <c r="B55" s="56"/>
      <c r="C55" s="73"/>
      <c r="D55" s="272"/>
      <c r="E55" s="165"/>
      <c r="F55" s="273"/>
      <c r="G55" s="218"/>
      <c r="H55" s="218"/>
      <c r="I55" s="218"/>
      <c r="J55" s="218"/>
      <c r="K55" s="218"/>
      <c r="L55" s="218"/>
      <c r="M55" s="55"/>
      <c r="N55" s="56"/>
    </row>
    <row r="56" spans="1:14" ht="82.5" customHeight="1" x14ac:dyDescent="0.2">
      <c r="A56" s="55"/>
      <c r="B56" s="56"/>
      <c r="C56" s="73"/>
      <c r="D56" s="272"/>
      <c r="E56" s="165"/>
      <c r="F56" s="273"/>
      <c r="G56" s="218"/>
      <c r="H56" s="218"/>
      <c r="I56" s="218"/>
      <c r="J56" s="218"/>
      <c r="K56" s="218"/>
      <c r="L56" s="218"/>
      <c r="M56" s="55"/>
      <c r="N56" s="56"/>
    </row>
    <row r="57" spans="1:14" ht="82.5" customHeight="1" x14ac:dyDescent="0.2">
      <c r="A57" s="55"/>
      <c r="B57" s="56"/>
      <c r="C57" s="73"/>
      <c r="D57" s="272"/>
      <c r="E57" s="165"/>
      <c r="F57" s="273"/>
      <c r="G57" s="218"/>
      <c r="H57" s="218"/>
      <c r="I57" s="218"/>
      <c r="J57" s="218"/>
      <c r="K57" s="218"/>
      <c r="L57" s="218"/>
      <c r="M57" s="55"/>
      <c r="N57" s="56"/>
    </row>
    <row r="58" spans="1:14" ht="82.5" customHeight="1" x14ac:dyDescent="0.2">
      <c r="A58" s="55"/>
      <c r="B58" s="56"/>
      <c r="C58" s="73"/>
      <c r="D58" s="272"/>
      <c r="E58" s="165"/>
      <c r="F58" s="273"/>
      <c r="G58" s="218"/>
      <c r="H58" s="218"/>
      <c r="I58" s="218"/>
      <c r="J58" s="218"/>
      <c r="K58" s="218"/>
      <c r="L58" s="218"/>
      <c r="M58" s="55"/>
      <c r="N58" s="56"/>
    </row>
    <row r="59" spans="1:14" ht="82.5" customHeight="1" x14ac:dyDescent="0.2">
      <c r="A59" s="55"/>
      <c r="B59" s="56"/>
      <c r="C59" s="73"/>
      <c r="D59" s="272"/>
      <c r="E59" s="165"/>
      <c r="F59" s="273"/>
      <c r="G59" s="218"/>
      <c r="H59" s="218"/>
      <c r="I59" s="218"/>
      <c r="J59" s="218"/>
      <c r="K59" s="218"/>
      <c r="L59" s="218"/>
      <c r="M59" s="55"/>
      <c r="N59" s="56"/>
    </row>
    <row r="60" spans="1:14" ht="82.5" customHeight="1" x14ac:dyDescent="0.2">
      <c r="A60" s="55"/>
      <c r="B60" s="56"/>
      <c r="C60" s="73"/>
      <c r="D60" s="274"/>
      <c r="E60" s="275"/>
      <c r="F60" s="276"/>
      <c r="G60" s="218"/>
      <c r="H60" s="237"/>
      <c r="I60" s="218"/>
      <c r="J60" s="237"/>
      <c r="K60" s="218"/>
      <c r="L60" s="237"/>
      <c r="M60" s="55"/>
      <c r="N60" s="56"/>
    </row>
    <row r="61" spans="1:14" ht="82.5" customHeight="1" x14ac:dyDescent="0.2">
      <c r="A61" s="55"/>
      <c r="B61" s="71"/>
      <c r="C61" s="84"/>
      <c r="D61" s="71"/>
      <c r="E61" s="71"/>
      <c r="F61" s="71"/>
      <c r="G61" s="71"/>
      <c r="H61" s="71"/>
      <c r="I61" s="71"/>
      <c r="J61" s="84"/>
      <c r="K61" s="84"/>
      <c r="L61" s="84"/>
      <c r="M61" s="78"/>
      <c r="N61" s="56"/>
    </row>
    <row r="62" spans="1:14" ht="12.75" x14ac:dyDescent="0.2">
      <c r="A62" s="56"/>
      <c r="B62" s="56"/>
      <c r="C62" s="73"/>
      <c r="D62" s="56"/>
      <c r="E62" s="56"/>
      <c r="F62" s="56"/>
      <c r="G62" s="56"/>
      <c r="H62" s="56"/>
      <c r="I62" s="56"/>
      <c r="J62" s="73"/>
      <c r="K62" s="73"/>
      <c r="L62" s="73"/>
      <c r="M62" s="56"/>
      <c r="N62" s="56"/>
    </row>
    <row r="63" spans="1:14" ht="14.25" x14ac:dyDescent="0.2">
      <c r="A63" s="56"/>
      <c r="B63" s="242" t="s">
        <v>477</v>
      </c>
      <c r="C63" s="165"/>
      <c r="D63" s="165"/>
      <c r="E63" s="165"/>
      <c r="F63" s="165"/>
      <c r="G63" s="56"/>
      <c r="H63" s="56"/>
      <c r="I63" s="246" t="s">
        <v>478</v>
      </c>
      <c r="J63" s="165"/>
      <c r="K63" s="165"/>
      <c r="L63" s="165"/>
      <c r="M63" s="165"/>
      <c r="N63" s="56"/>
    </row>
    <row r="64" spans="1:14" ht="8.25" customHeight="1" x14ac:dyDescent="0.2"/>
    <row r="65" spans="1:14" ht="14.25" x14ac:dyDescent="0.2">
      <c r="A65" s="56"/>
      <c r="B65" s="244" t="s">
        <v>80</v>
      </c>
      <c r="C65" s="165"/>
      <c r="D65" s="165"/>
      <c r="E65" s="165"/>
      <c r="F65" s="165"/>
      <c r="G65" s="165"/>
      <c r="H65" s="165"/>
      <c r="I65" s="165"/>
      <c r="J65" s="165"/>
      <c r="K65" s="165"/>
      <c r="L65" s="165"/>
      <c r="M65" s="165"/>
      <c r="N65" s="56"/>
    </row>
    <row r="66" spans="1:14" ht="14.25" x14ac:dyDescent="0.2">
      <c r="A66" s="56"/>
      <c r="B66" s="244" t="s">
        <v>113</v>
      </c>
      <c r="C66" s="165"/>
      <c r="D66" s="165"/>
      <c r="E66" s="165"/>
      <c r="F66" s="165"/>
      <c r="G66" s="165"/>
      <c r="H66" s="165"/>
      <c r="I66" s="165"/>
      <c r="J66" s="165"/>
      <c r="K66" s="165"/>
      <c r="L66" s="165"/>
      <c r="M66" s="165"/>
      <c r="N66" s="56"/>
    </row>
    <row r="67" spans="1:14" ht="12.75" x14ac:dyDescent="0.2">
      <c r="A67" s="56"/>
      <c r="B67" s="56"/>
      <c r="C67" s="73"/>
      <c r="D67" s="56"/>
      <c r="E67" s="56"/>
      <c r="F67" s="56"/>
      <c r="G67" s="56"/>
      <c r="H67" s="56"/>
      <c r="I67" s="56"/>
      <c r="J67" s="73"/>
      <c r="K67" s="73"/>
      <c r="L67" s="73"/>
      <c r="M67" s="56"/>
      <c r="N67" s="56"/>
    </row>
    <row r="68" spans="1:14" ht="15.75" customHeight="1" x14ac:dyDescent="0.2">
      <c r="A68" s="56"/>
      <c r="B68" s="56"/>
      <c r="C68" s="73"/>
      <c r="D68" s="56"/>
      <c r="E68" s="56"/>
      <c r="F68" s="56"/>
      <c r="G68" s="56"/>
      <c r="H68" s="56"/>
      <c r="I68" s="56"/>
      <c r="J68" s="73"/>
      <c r="K68" s="73"/>
      <c r="L68" s="73"/>
      <c r="M68" s="56"/>
      <c r="N68" s="56"/>
    </row>
    <row r="69" spans="1:14" ht="12.75" x14ac:dyDescent="0.2">
      <c r="A69" s="56"/>
      <c r="B69" s="56"/>
      <c r="C69" s="73"/>
      <c r="D69" s="56"/>
      <c r="E69" s="56"/>
      <c r="F69" s="56"/>
      <c r="G69" s="56"/>
      <c r="H69" s="56"/>
      <c r="I69" s="56"/>
      <c r="J69" s="73"/>
      <c r="K69" s="73"/>
      <c r="L69" s="73"/>
      <c r="M69" s="56"/>
      <c r="N69" s="56"/>
    </row>
    <row r="70" spans="1:14" ht="12.75" x14ac:dyDescent="0.2">
      <c r="A70" s="56"/>
      <c r="B70" s="56"/>
      <c r="C70" s="73"/>
      <c r="D70" s="56"/>
      <c r="E70" s="56"/>
      <c r="F70" s="56"/>
      <c r="G70" s="56"/>
      <c r="H70" s="56"/>
      <c r="I70" s="56"/>
      <c r="J70" s="73"/>
      <c r="K70" s="73"/>
      <c r="L70" s="73"/>
      <c r="M70" s="56"/>
      <c r="N70" s="56"/>
    </row>
  </sheetData>
  <mergeCells count="40">
    <mergeCell ref="B63:F63"/>
    <mergeCell ref="I63:M63"/>
    <mergeCell ref="B65:M65"/>
    <mergeCell ref="B66:M66"/>
    <mergeCell ref="H33:J33"/>
    <mergeCell ref="G43:G44"/>
    <mergeCell ref="H43:H44"/>
    <mergeCell ref="I43:I60"/>
    <mergeCell ref="J43:J60"/>
    <mergeCell ref="G47:G60"/>
    <mergeCell ref="H47:H60"/>
    <mergeCell ref="L23:L26"/>
    <mergeCell ref="F28:F29"/>
    <mergeCell ref="H28:J29"/>
    <mergeCell ref="L28:L29"/>
    <mergeCell ref="H31:J31"/>
    <mergeCell ref="H17:J17"/>
    <mergeCell ref="H19:J19"/>
    <mergeCell ref="H21:J21"/>
    <mergeCell ref="F23:F26"/>
    <mergeCell ref="H23:J26"/>
    <mergeCell ref="B8:M8"/>
    <mergeCell ref="L10:M10"/>
    <mergeCell ref="B10:F10"/>
    <mergeCell ref="B11:M11"/>
    <mergeCell ref="H15:J15"/>
    <mergeCell ref="B1:J1"/>
    <mergeCell ref="C4:D4"/>
    <mergeCell ref="C5:D5"/>
    <mergeCell ref="B7:F7"/>
    <mergeCell ref="L7:M7"/>
    <mergeCell ref="K43:K60"/>
    <mergeCell ref="L43:L60"/>
    <mergeCell ref="F35:F36"/>
    <mergeCell ref="H35:J36"/>
    <mergeCell ref="L35:L36"/>
    <mergeCell ref="H38:J38"/>
    <mergeCell ref="B40:M40"/>
    <mergeCell ref="D42:F42"/>
    <mergeCell ref="D43:F60"/>
  </mergeCells>
  <hyperlinks>
    <hyperlink ref="C4" location="C9LegalLesson" display="Lesson" xr:uid="{00000000-0004-0000-1400-000000000000}"/>
    <hyperlink ref="C5" location="C9LegalExample" display="Example" xr:uid="{00000000-0004-0000-1400-000001000000}"/>
    <hyperlink ref="L7" location="C9LegalTitle" display="Back to top ↑" xr:uid="{00000000-0004-0000-1400-000002000000}"/>
    <hyperlink ref="L10" location="C9LegalTitle" display="Back to top ↑" xr:uid="{00000000-0004-0000-1400-000003000000}"/>
    <hyperlink ref="B63" location="C9TemplateTitle" display="← Chapter 9: Complex Prompts from Scratch - Chatbot" xr:uid="{00000000-0004-0000-1400-000004000000}"/>
    <hyperlink ref="I63" location="C9FinancialTitle" display="Chapter 9: Complex Prompts for Financial Services →" xr:uid="{00000000-0004-0000-1400-000005000000}"/>
    <hyperlink ref="B65" location="C9LegalTitle" display="Back to top ↑" xr:uid="{00000000-0004-0000-1400-000006000000}"/>
    <hyperlink ref="B66" location="IntroTitle" display="Table of Contents" xr:uid="{00000000-0004-0000-1400-000007000000}"/>
  </hyperlinks>
  <pageMargins left="0.7" right="0.7" top="0.75" bottom="0.75" header="0.3" footer="0.3"/>
  <pageSetup paperSize="9" scale="45" fitToHeight="0"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9900"/>
    <outlinePr summaryBelow="0" summaryRight="0"/>
    <pageSetUpPr fitToPage="1"/>
  </sheetPr>
  <dimension ref="A1:N52"/>
  <sheetViews>
    <sheetView showGridLines="0" workbookViewId="0"/>
  </sheetViews>
  <sheetFormatPr defaultColWidth="12.5703125" defaultRowHeight="15.75" customHeight="1" x14ac:dyDescent="0.2"/>
  <cols>
    <col min="1" max="1" width="5.42578125" customWidth="1"/>
    <col min="2" max="2" width="3" customWidth="1"/>
    <col min="3" max="3" width="4" customWidth="1"/>
    <col min="4" max="4" width="19.85546875" customWidth="1"/>
    <col min="5" max="5" width="1.42578125" customWidth="1"/>
    <col min="6" max="6" width="42.140625" customWidth="1"/>
    <col min="7" max="7" width="4" customWidth="1"/>
    <col min="8" max="8" width="28.28515625" customWidth="1"/>
    <col min="9" max="9" width="4" customWidth="1"/>
    <col min="10" max="10" width="43" customWidth="1"/>
    <col min="11" max="11" width="4" customWidth="1"/>
    <col min="12" max="12" width="31" customWidth="1"/>
    <col min="13" max="13" width="3" customWidth="1"/>
    <col min="14" max="14" width="5.42578125" customWidth="1"/>
  </cols>
  <sheetData>
    <row r="1" spans="1:14" ht="32.25" customHeight="1" x14ac:dyDescent="0.4">
      <c r="A1" s="67"/>
      <c r="B1" s="229" t="s">
        <v>479</v>
      </c>
      <c r="C1" s="165"/>
      <c r="D1" s="165"/>
      <c r="E1" s="165"/>
      <c r="F1" s="165"/>
      <c r="G1" s="165"/>
      <c r="H1" s="165"/>
      <c r="I1" s="165"/>
      <c r="J1" s="165"/>
      <c r="K1" s="83"/>
      <c r="L1" s="83"/>
      <c r="M1" s="68"/>
      <c r="N1" s="68"/>
    </row>
    <row r="2" spans="1:14" ht="21.75" customHeight="1" x14ac:dyDescent="0.2">
      <c r="A2" s="56"/>
      <c r="B2" s="56"/>
      <c r="C2" s="73"/>
      <c r="D2" s="56"/>
      <c r="E2" s="56"/>
      <c r="F2" s="56"/>
      <c r="G2" s="56"/>
      <c r="H2" s="56"/>
      <c r="I2" s="56"/>
      <c r="J2" s="73"/>
      <c r="K2" s="73"/>
      <c r="L2" s="73"/>
      <c r="M2" s="56"/>
      <c r="N2" s="56"/>
    </row>
    <row r="3" spans="1:14" ht="21.75" customHeight="1" x14ac:dyDescent="0.3">
      <c r="A3" s="56"/>
      <c r="B3" s="69" t="s">
        <v>76</v>
      </c>
      <c r="C3" s="56"/>
      <c r="D3" s="56"/>
      <c r="E3" s="56"/>
      <c r="F3" s="56"/>
      <c r="G3" s="56"/>
      <c r="H3" s="56"/>
      <c r="I3" s="56"/>
      <c r="J3" s="56"/>
      <c r="K3" s="56"/>
      <c r="L3" s="56"/>
      <c r="M3" s="56"/>
      <c r="N3" s="56"/>
    </row>
    <row r="4" spans="1:14" ht="15.75" customHeight="1" x14ac:dyDescent="0.2">
      <c r="A4" s="56"/>
      <c r="B4" s="56"/>
      <c r="C4" s="308" t="s">
        <v>480</v>
      </c>
      <c r="D4" s="165"/>
      <c r="E4" s="165"/>
      <c r="F4" s="165"/>
      <c r="G4" s="56"/>
      <c r="H4" s="56"/>
      <c r="I4" s="56"/>
      <c r="J4" s="56"/>
      <c r="K4" s="56"/>
      <c r="L4" s="56"/>
      <c r="M4" s="56"/>
      <c r="N4" s="56"/>
    </row>
    <row r="5" spans="1:14" ht="33.75" customHeight="1" x14ac:dyDescent="0.2">
      <c r="A5" s="56"/>
      <c r="B5" s="71"/>
      <c r="C5" s="71"/>
      <c r="D5" s="71"/>
      <c r="E5" s="71"/>
      <c r="F5" s="71"/>
      <c r="G5" s="71"/>
      <c r="H5" s="71"/>
      <c r="I5" s="71"/>
      <c r="J5" s="71"/>
      <c r="K5" s="71"/>
      <c r="L5" s="71"/>
      <c r="M5" s="71"/>
      <c r="N5" s="56"/>
    </row>
    <row r="6" spans="1:14" ht="33.75" customHeight="1" x14ac:dyDescent="0.2">
      <c r="A6" s="55"/>
      <c r="B6" s="231" t="s">
        <v>395</v>
      </c>
      <c r="C6" s="165"/>
      <c r="D6" s="165"/>
      <c r="E6" s="165"/>
      <c r="F6" s="165"/>
      <c r="G6" s="56"/>
      <c r="H6" s="56"/>
      <c r="I6" s="56"/>
      <c r="J6" s="73"/>
      <c r="K6" s="73"/>
      <c r="L6" s="319" t="s">
        <v>80</v>
      </c>
      <c r="M6" s="170"/>
      <c r="N6" s="56"/>
    </row>
    <row r="7" spans="1:14" ht="12.75" x14ac:dyDescent="0.2">
      <c r="A7" s="55"/>
      <c r="B7" s="284" t="s">
        <v>481</v>
      </c>
      <c r="C7" s="165"/>
      <c r="D7" s="165"/>
      <c r="E7" s="165"/>
      <c r="F7" s="165"/>
      <c r="G7" s="165"/>
      <c r="H7" s="165"/>
      <c r="I7" s="165"/>
      <c r="J7" s="165"/>
      <c r="K7" s="165"/>
      <c r="L7" s="165"/>
      <c r="M7" s="170"/>
      <c r="N7" s="56"/>
    </row>
    <row r="8" spans="1:14" ht="12.75" x14ac:dyDescent="0.2">
      <c r="A8" s="55"/>
      <c r="B8" s="56"/>
      <c r="C8" s="73"/>
      <c r="D8" s="56"/>
      <c r="E8" s="56"/>
      <c r="F8" s="56"/>
      <c r="G8" s="56"/>
      <c r="H8" s="56"/>
      <c r="I8" s="56"/>
      <c r="J8" s="73"/>
      <c r="K8" s="73"/>
      <c r="L8" s="73"/>
      <c r="M8" s="55"/>
      <c r="N8" s="56"/>
    </row>
    <row r="9" spans="1:14" ht="15" x14ac:dyDescent="0.25">
      <c r="A9" s="55"/>
      <c r="B9" s="56"/>
      <c r="C9" s="73"/>
      <c r="D9" s="139" t="s">
        <v>398</v>
      </c>
      <c r="E9" s="56"/>
      <c r="F9" s="139" t="s">
        <v>399</v>
      </c>
      <c r="G9" s="56"/>
      <c r="H9" s="140" t="s">
        <v>395</v>
      </c>
      <c r="I9" s="73"/>
      <c r="J9" s="73"/>
      <c r="K9" s="56"/>
      <c r="L9" s="141" t="s">
        <v>457</v>
      </c>
      <c r="M9" s="55"/>
      <c r="N9" s="56"/>
    </row>
    <row r="10" spans="1:14" ht="3.75" customHeight="1" x14ac:dyDescent="0.2">
      <c r="A10" s="55"/>
      <c r="B10" s="56"/>
      <c r="C10" s="73"/>
      <c r="D10" s="56"/>
      <c r="E10" s="56"/>
      <c r="F10" s="77"/>
      <c r="G10" s="56"/>
      <c r="H10" s="142"/>
      <c r="I10" s="142"/>
      <c r="J10" s="142"/>
      <c r="K10" s="56"/>
      <c r="L10" s="77"/>
      <c r="M10" s="55"/>
      <c r="N10" s="56"/>
    </row>
    <row r="11" spans="1:14" ht="51" x14ac:dyDescent="0.2">
      <c r="A11" s="55"/>
      <c r="B11" s="56"/>
      <c r="C11" s="143" t="s">
        <v>266</v>
      </c>
      <c r="D11" s="144" t="s">
        <v>401</v>
      </c>
      <c r="E11" s="58"/>
      <c r="F11" s="92" t="s">
        <v>402</v>
      </c>
      <c r="G11" s="58"/>
      <c r="H11" s="309" t="s">
        <v>403</v>
      </c>
      <c r="I11" s="292"/>
      <c r="J11" s="237"/>
      <c r="K11" s="58"/>
      <c r="L11" s="145" t="s">
        <v>482</v>
      </c>
      <c r="M11" s="55"/>
      <c r="N11" s="56"/>
    </row>
    <row r="12" spans="1:14" ht="15.75" customHeight="1" x14ac:dyDescent="0.2">
      <c r="A12" s="55"/>
      <c r="B12" s="56"/>
      <c r="C12" s="56"/>
      <c r="D12" s="56"/>
      <c r="E12" s="56"/>
      <c r="F12" s="77"/>
      <c r="G12" s="56"/>
      <c r="H12" s="77"/>
      <c r="I12" s="77"/>
      <c r="J12" s="77"/>
      <c r="K12" s="56"/>
      <c r="L12" s="77"/>
      <c r="M12" s="55"/>
      <c r="N12" s="56"/>
    </row>
    <row r="13" spans="1:14" ht="15.75" customHeight="1" x14ac:dyDescent="0.2">
      <c r="A13" s="55"/>
      <c r="B13" s="56"/>
      <c r="C13" s="143" t="s">
        <v>268</v>
      </c>
      <c r="D13" s="144" t="s">
        <v>405</v>
      </c>
      <c r="E13" s="58"/>
      <c r="F13" s="92" t="s">
        <v>406</v>
      </c>
      <c r="G13" s="58"/>
      <c r="H13" s="309"/>
      <c r="I13" s="292"/>
      <c r="J13" s="237"/>
      <c r="K13" s="58"/>
      <c r="L13" s="145" t="s">
        <v>408</v>
      </c>
      <c r="M13" s="55"/>
      <c r="N13" s="56"/>
    </row>
    <row r="14" spans="1:14" ht="15.75" customHeight="1" x14ac:dyDescent="0.2">
      <c r="A14" s="55"/>
      <c r="B14" s="56"/>
      <c r="C14" s="56"/>
      <c r="D14" s="56"/>
      <c r="E14" s="56"/>
      <c r="F14" s="77"/>
      <c r="G14" s="56"/>
      <c r="H14" s="77"/>
      <c r="I14" s="77"/>
      <c r="J14" s="77"/>
      <c r="K14" s="56"/>
      <c r="L14" s="77"/>
      <c r="M14" s="55"/>
      <c r="N14" s="56"/>
    </row>
    <row r="15" spans="1:14" ht="30" x14ac:dyDescent="0.2">
      <c r="A15" s="55"/>
      <c r="B15" s="56"/>
      <c r="C15" s="143" t="s">
        <v>270</v>
      </c>
      <c r="D15" s="144" t="s">
        <v>483</v>
      </c>
      <c r="E15" s="58"/>
      <c r="F15" s="92" t="s">
        <v>410</v>
      </c>
      <c r="G15" s="58"/>
      <c r="H15" s="318"/>
      <c r="I15" s="292"/>
      <c r="J15" s="237"/>
      <c r="K15" s="58"/>
      <c r="L15" s="145" t="s">
        <v>412</v>
      </c>
      <c r="M15" s="55"/>
      <c r="N15" s="56"/>
    </row>
    <row r="16" spans="1:14" ht="15.75" customHeight="1" x14ac:dyDescent="0.2">
      <c r="A16" s="55"/>
      <c r="B16" s="56"/>
      <c r="C16" s="56"/>
      <c r="D16" s="56"/>
      <c r="E16" s="56"/>
      <c r="F16" s="77"/>
      <c r="G16" s="56"/>
      <c r="H16" s="77"/>
      <c r="I16" s="77"/>
      <c r="J16" s="77"/>
      <c r="K16" s="56"/>
      <c r="L16" s="77"/>
      <c r="M16" s="55"/>
      <c r="N16" s="56"/>
    </row>
    <row r="17" spans="1:14" ht="63.75" x14ac:dyDescent="0.2">
      <c r="A17" s="55"/>
      <c r="B17" s="56"/>
      <c r="C17" s="143" t="s">
        <v>314</v>
      </c>
      <c r="D17" s="144" t="s">
        <v>422</v>
      </c>
      <c r="E17" s="58"/>
      <c r="F17" s="92" t="s">
        <v>423</v>
      </c>
      <c r="G17" s="58"/>
      <c r="H17" s="309"/>
      <c r="I17" s="292"/>
      <c r="J17" s="237"/>
      <c r="K17" s="58"/>
      <c r="L17" s="145" t="s">
        <v>461</v>
      </c>
      <c r="M17" s="55"/>
      <c r="N17" s="56"/>
    </row>
    <row r="18" spans="1:14" ht="15.75" customHeight="1" x14ac:dyDescent="0.2">
      <c r="A18" s="55"/>
      <c r="B18" s="56"/>
      <c r="C18" s="73"/>
      <c r="D18" s="56"/>
      <c r="E18" s="56"/>
      <c r="F18" s="77"/>
      <c r="G18" s="56"/>
      <c r="H18" s="142"/>
      <c r="I18" s="142"/>
      <c r="J18" s="142"/>
      <c r="K18" s="56"/>
      <c r="L18" s="142"/>
      <c r="M18" s="55"/>
      <c r="N18" s="56"/>
    </row>
    <row r="19" spans="1:14" ht="178.5" x14ac:dyDescent="0.2">
      <c r="A19" s="55"/>
      <c r="B19" s="56"/>
      <c r="C19" s="143" t="s">
        <v>417</v>
      </c>
      <c r="D19" s="144" t="s">
        <v>77</v>
      </c>
      <c r="E19" s="58"/>
      <c r="F19" s="92" t="s">
        <v>418</v>
      </c>
      <c r="G19" s="58"/>
      <c r="H19" s="309"/>
      <c r="I19" s="292"/>
      <c r="J19" s="237"/>
      <c r="K19" s="58"/>
      <c r="L19" s="145" t="s">
        <v>464</v>
      </c>
      <c r="M19" s="55"/>
      <c r="N19" s="56"/>
    </row>
    <row r="20" spans="1:14" ht="12.75" x14ac:dyDescent="0.2">
      <c r="A20" s="55"/>
      <c r="B20" s="56"/>
      <c r="C20" s="73"/>
      <c r="D20" s="56"/>
      <c r="E20" s="56"/>
      <c r="F20" s="77"/>
      <c r="G20" s="56"/>
      <c r="H20" s="142"/>
      <c r="I20" s="142"/>
      <c r="J20" s="142"/>
      <c r="K20" s="56"/>
      <c r="L20" s="142"/>
      <c r="M20" s="55"/>
      <c r="N20" s="56"/>
    </row>
    <row r="21" spans="1:14" ht="63.75" x14ac:dyDescent="0.2">
      <c r="A21" s="55"/>
      <c r="B21" s="56"/>
      <c r="C21" s="143" t="s">
        <v>421</v>
      </c>
      <c r="D21" s="144" t="s">
        <v>413</v>
      </c>
      <c r="E21" s="58"/>
      <c r="F21" s="92" t="s">
        <v>414</v>
      </c>
      <c r="G21" s="58"/>
      <c r="H21" s="309"/>
      <c r="I21" s="292"/>
      <c r="J21" s="237"/>
      <c r="K21" s="58"/>
      <c r="L21" s="145" t="s">
        <v>416</v>
      </c>
      <c r="M21" s="55"/>
      <c r="N21" s="56"/>
    </row>
    <row r="22" spans="1:14" ht="15.75" customHeight="1" x14ac:dyDescent="0.2">
      <c r="A22" s="55"/>
      <c r="B22" s="56"/>
      <c r="C22" s="73"/>
      <c r="D22" s="56"/>
      <c r="E22" s="56"/>
      <c r="F22" s="77"/>
      <c r="G22" s="56"/>
      <c r="H22" s="142"/>
      <c r="I22" s="142"/>
      <c r="J22" s="142"/>
      <c r="K22" s="56"/>
      <c r="L22" s="142"/>
      <c r="M22" s="55"/>
      <c r="N22" s="56"/>
    </row>
    <row r="23" spans="1:14" ht="102" x14ac:dyDescent="0.2">
      <c r="A23" s="55"/>
      <c r="B23" s="56"/>
      <c r="C23" s="143" t="s">
        <v>426</v>
      </c>
      <c r="D23" s="144" t="s">
        <v>484</v>
      </c>
      <c r="E23" s="58"/>
      <c r="F23" s="92" t="s">
        <v>428</v>
      </c>
      <c r="G23" s="58"/>
      <c r="H23" s="309"/>
      <c r="I23" s="292"/>
      <c r="J23" s="237"/>
      <c r="K23" s="58"/>
      <c r="L23" s="145" t="s">
        <v>430</v>
      </c>
      <c r="M23" s="55"/>
      <c r="N23" s="56"/>
    </row>
    <row r="24" spans="1:14" ht="15.75" customHeight="1" x14ac:dyDescent="0.2">
      <c r="A24" s="55"/>
      <c r="B24" s="56"/>
      <c r="C24" s="73"/>
      <c r="D24" s="56"/>
      <c r="E24" s="56"/>
      <c r="F24" s="77"/>
      <c r="G24" s="56"/>
      <c r="H24" s="142"/>
      <c r="I24" s="142"/>
      <c r="J24" s="142"/>
      <c r="K24" s="56"/>
      <c r="L24" s="142"/>
      <c r="M24" s="55"/>
      <c r="N24" s="56"/>
    </row>
    <row r="25" spans="1:14" ht="63.75" x14ac:dyDescent="0.2">
      <c r="A25" s="55"/>
      <c r="B25" s="56"/>
      <c r="C25" s="143" t="s">
        <v>431</v>
      </c>
      <c r="D25" s="144" t="s">
        <v>466</v>
      </c>
      <c r="E25" s="58"/>
      <c r="F25" s="92" t="s">
        <v>433</v>
      </c>
      <c r="G25" s="58"/>
      <c r="H25" s="318"/>
      <c r="I25" s="292"/>
      <c r="J25" s="237"/>
      <c r="K25" s="58"/>
      <c r="L25" s="145" t="s">
        <v>485</v>
      </c>
      <c r="M25" s="55"/>
      <c r="N25" s="56"/>
    </row>
    <row r="26" spans="1:14" ht="15.75" customHeight="1" x14ac:dyDescent="0.2">
      <c r="A26" s="55"/>
      <c r="B26" s="56"/>
      <c r="C26" s="73"/>
      <c r="D26" s="56"/>
      <c r="E26" s="56"/>
      <c r="F26" s="77"/>
      <c r="G26" s="56"/>
      <c r="H26" s="142"/>
      <c r="I26" s="142"/>
      <c r="J26" s="142"/>
      <c r="K26" s="56"/>
      <c r="L26" s="142"/>
      <c r="M26" s="55"/>
      <c r="N26" s="56"/>
    </row>
    <row r="27" spans="1:14" ht="38.25" x14ac:dyDescent="0.2">
      <c r="A27" s="55"/>
      <c r="B27" s="56"/>
      <c r="C27" s="143" t="s">
        <v>436</v>
      </c>
      <c r="D27" s="144" t="s">
        <v>469</v>
      </c>
      <c r="E27" s="58"/>
      <c r="F27" s="92" t="s">
        <v>438</v>
      </c>
      <c r="G27" s="58"/>
      <c r="H27" s="318"/>
      <c r="I27" s="292"/>
      <c r="J27" s="237"/>
      <c r="K27" s="58"/>
      <c r="L27" s="145" t="s">
        <v>412</v>
      </c>
      <c r="M27" s="55"/>
      <c r="N27" s="56"/>
    </row>
    <row r="28" spans="1:14" ht="15.75" customHeight="1" x14ac:dyDescent="0.2">
      <c r="A28" s="55"/>
      <c r="B28" s="56"/>
      <c r="C28" s="73"/>
      <c r="D28" s="56"/>
      <c r="E28" s="56"/>
      <c r="F28" s="77"/>
      <c r="G28" s="56"/>
      <c r="H28" s="77"/>
      <c r="I28" s="142"/>
      <c r="J28" s="142"/>
      <c r="K28" s="56"/>
      <c r="L28" s="142"/>
      <c r="M28" s="55"/>
      <c r="N28" s="56"/>
    </row>
    <row r="29" spans="1:14" ht="114.75" x14ac:dyDescent="0.2">
      <c r="A29" s="55"/>
      <c r="B29" s="56"/>
      <c r="C29" s="143" t="s">
        <v>441</v>
      </c>
      <c r="D29" s="144" t="s">
        <v>442</v>
      </c>
      <c r="E29" s="58"/>
      <c r="F29" s="92" t="s">
        <v>486</v>
      </c>
      <c r="G29" s="58"/>
      <c r="H29" s="318"/>
      <c r="I29" s="292"/>
      <c r="J29" s="237"/>
      <c r="K29" s="58"/>
      <c r="L29" s="145" t="s">
        <v>445</v>
      </c>
      <c r="M29" s="55"/>
      <c r="N29" s="56"/>
    </row>
    <row r="30" spans="1:14" ht="15.75" customHeight="1" x14ac:dyDescent="0.2">
      <c r="A30" s="55"/>
      <c r="B30" s="56"/>
      <c r="C30" s="73"/>
      <c r="D30" s="56"/>
      <c r="E30" s="56"/>
      <c r="F30" s="56"/>
      <c r="G30" s="56"/>
      <c r="H30" s="56"/>
      <c r="I30" s="56"/>
      <c r="J30" s="73"/>
      <c r="K30" s="73"/>
      <c r="L30" s="73"/>
      <c r="M30" s="55"/>
      <c r="N30" s="56"/>
    </row>
    <row r="31" spans="1:14" ht="15" x14ac:dyDescent="0.25">
      <c r="A31" s="55"/>
      <c r="B31" s="235" t="s">
        <v>487</v>
      </c>
      <c r="C31" s="165"/>
      <c r="D31" s="165"/>
      <c r="E31" s="165"/>
      <c r="F31" s="165"/>
      <c r="G31" s="165"/>
      <c r="H31" s="165"/>
      <c r="I31" s="165"/>
      <c r="J31" s="165"/>
      <c r="K31" s="165"/>
      <c r="L31" s="165"/>
      <c r="M31" s="170"/>
      <c r="N31" s="56"/>
    </row>
    <row r="32" spans="1:14" ht="15.75" customHeight="1" x14ac:dyDescent="0.2">
      <c r="A32" s="55"/>
      <c r="B32" s="56"/>
      <c r="C32" s="73"/>
      <c r="D32" s="56"/>
      <c r="E32" s="56"/>
      <c r="F32" s="56"/>
      <c r="G32" s="56"/>
      <c r="H32" s="56"/>
      <c r="I32" s="56"/>
      <c r="J32" s="73"/>
      <c r="K32" s="73"/>
      <c r="L32" s="73"/>
      <c r="M32" s="55"/>
      <c r="N32" s="56"/>
    </row>
    <row r="33" spans="1:14" ht="15" x14ac:dyDescent="0.25">
      <c r="A33" s="55"/>
      <c r="B33" s="56"/>
      <c r="C33" s="73"/>
      <c r="D33" s="315" t="s">
        <v>447</v>
      </c>
      <c r="E33" s="165"/>
      <c r="F33" s="165"/>
      <c r="G33" s="56"/>
      <c r="H33" s="86" t="s">
        <v>221</v>
      </c>
      <c r="I33" s="56"/>
      <c r="J33" s="86" t="s">
        <v>449</v>
      </c>
      <c r="K33" s="56"/>
      <c r="L33" s="86" t="s">
        <v>91</v>
      </c>
      <c r="M33" s="55"/>
      <c r="N33" s="56"/>
    </row>
    <row r="34" spans="1:14" ht="22.5" customHeight="1" x14ac:dyDescent="0.2">
      <c r="A34" s="55"/>
      <c r="B34" s="56"/>
      <c r="C34" s="146"/>
      <c r="D34" s="316" t="str">
        <f>CONCATENATE(H11," ",H13,IF(ISBLANK(H15),"",CHAR(10)&amp;CHAR(10)&amp;H15),IF(ISBLANK(H17),"",CHAR(10)&amp;CHAR(10)&amp;H17),IF(ISBLANK(H19),"",CHAR(10)&amp;CHAR(10)&amp;H19),IF(ISBLANK(H21),"",CHAR(10)&amp;CHAR(10)&amp;H21),IF(ISBLANK(H23),"",CHAR(10)&amp;CHAR(10)&amp;H23),IF(ISBLANK(H25),"",CHAR(10)&amp;CHAR(10)&amp;H25),IF(ISBLANK(H27),"",CHAR(10)&amp;CHAR(10)&amp;H27),IF(ISBLANK(H29),"",CHAR(10)&amp;H29))</f>
        <v xml:space="preserve">User: </v>
      </c>
      <c r="E34" s="270"/>
      <c r="F34" s="271"/>
      <c r="G34" s="320" t="s">
        <v>188</v>
      </c>
      <c r="H34" s="256" t="s">
        <v>488</v>
      </c>
      <c r="I34" s="257" t="s">
        <v>190</v>
      </c>
      <c r="J34" s="240" t="str">
        <f>SUBSTITUTE(SUBSTITUTE(D34,"{{QUESTION}}",H34),"{{TAX_CODE}}",H38)</f>
        <v xml:space="preserve">User: </v>
      </c>
      <c r="K34" s="259" t="s">
        <v>93</v>
      </c>
      <c r="L34" s="312" t="e">
        <f ca="1">claudeMessages(J34, 'Tutorial How-To'!$E$37,"temperature",0)</f>
        <v>#NAME?</v>
      </c>
      <c r="M34" s="55"/>
      <c r="N34" s="56"/>
    </row>
    <row r="35" spans="1:14" ht="12.75" x14ac:dyDescent="0.2">
      <c r="A35" s="55"/>
      <c r="B35" s="56"/>
      <c r="C35" s="146"/>
      <c r="D35" s="272"/>
      <c r="E35" s="165"/>
      <c r="F35" s="273"/>
      <c r="G35" s="218"/>
      <c r="H35" s="237"/>
      <c r="I35" s="218"/>
      <c r="J35" s="218"/>
      <c r="K35" s="218"/>
      <c r="L35" s="218"/>
      <c r="M35" s="55"/>
      <c r="N35" s="56"/>
    </row>
    <row r="36" spans="1:14" ht="8.25" customHeight="1" x14ac:dyDescent="0.2">
      <c r="A36" s="55"/>
      <c r="B36" s="56"/>
      <c r="C36" s="146"/>
      <c r="D36" s="272"/>
      <c r="E36" s="165"/>
      <c r="F36" s="273"/>
      <c r="G36" s="56"/>
      <c r="H36" s="56"/>
      <c r="I36" s="218"/>
      <c r="J36" s="218"/>
      <c r="K36" s="218"/>
      <c r="L36" s="218"/>
      <c r="M36" s="55"/>
      <c r="N36" s="56"/>
    </row>
    <row r="37" spans="1:14" ht="15" x14ac:dyDescent="0.25">
      <c r="A37" s="55"/>
      <c r="B37" s="56"/>
      <c r="C37" s="146"/>
      <c r="D37" s="272"/>
      <c r="E37" s="165"/>
      <c r="F37" s="273"/>
      <c r="G37" s="56"/>
      <c r="H37" s="86" t="s">
        <v>489</v>
      </c>
      <c r="I37" s="218"/>
      <c r="J37" s="218"/>
      <c r="K37" s="218"/>
      <c r="L37" s="218"/>
      <c r="M37" s="55"/>
      <c r="N37" s="56"/>
    </row>
    <row r="38" spans="1:14" ht="65.25" customHeight="1" x14ac:dyDescent="0.2">
      <c r="A38" s="55"/>
      <c r="B38" s="56"/>
      <c r="C38" s="146"/>
      <c r="D38" s="272"/>
      <c r="E38" s="165"/>
      <c r="F38" s="273"/>
      <c r="G38" s="255" t="s">
        <v>188</v>
      </c>
      <c r="H38" s="256" t="s">
        <v>490</v>
      </c>
      <c r="I38" s="218"/>
      <c r="J38" s="218"/>
      <c r="K38" s="218"/>
      <c r="L38" s="218"/>
      <c r="M38" s="55"/>
      <c r="N38" s="56"/>
    </row>
    <row r="39" spans="1:14" ht="65.25" customHeight="1" x14ac:dyDescent="0.2">
      <c r="A39" s="55"/>
      <c r="B39" s="56"/>
      <c r="C39" s="146"/>
      <c r="D39" s="272"/>
      <c r="E39" s="165"/>
      <c r="F39" s="273"/>
      <c r="G39" s="218"/>
      <c r="H39" s="218"/>
      <c r="I39" s="218"/>
      <c r="J39" s="218"/>
      <c r="K39" s="218"/>
      <c r="L39" s="218"/>
      <c r="M39" s="55"/>
      <c r="N39" s="56"/>
    </row>
    <row r="40" spans="1:14" ht="8.25" customHeight="1" x14ac:dyDescent="0.2">
      <c r="A40" s="55"/>
      <c r="B40" s="56"/>
      <c r="C40" s="146"/>
      <c r="D40" s="272"/>
      <c r="E40" s="165"/>
      <c r="F40" s="273"/>
      <c r="G40" s="218"/>
      <c r="H40" s="218"/>
      <c r="I40" s="218"/>
      <c r="J40" s="218"/>
      <c r="K40" s="218"/>
      <c r="L40" s="218"/>
      <c r="M40" s="55"/>
      <c r="N40" s="56"/>
    </row>
    <row r="41" spans="1:14" ht="15.75" customHeight="1" x14ac:dyDescent="0.2">
      <c r="A41" s="55"/>
      <c r="B41" s="56"/>
      <c r="C41" s="146"/>
      <c r="D41" s="272"/>
      <c r="E41" s="165"/>
      <c r="F41" s="273"/>
      <c r="G41" s="218"/>
      <c r="H41" s="218"/>
      <c r="I41" s="218"/>
      <c r="J41" s="218"/>
      <c r="K41" s="218"/>
      <c r="L41" s="218"/>
      <c r="M41" s="55"/>
      <c r="N41" s="56"/>
    </row>
    <row r="42" spans="1:14" ht="81.75" customHeight="1" x14ac:dyDescent="0.2">
      <c r="A42" s="55"/>
      <c r="B42" s="56"/>
      <c r="C42" s="146"/>
      <c r="D42" s="274"/>
      <c r="E42" s="275"/>
      <c r="F42" s="276"/>
      <c r="G42" s="218"/>
      <c r="H42" s="237"/>
      <c r="I42" s="218"/>
      <c r="J42" s="237"/>
      <c r="K42" s="218"/>
      <c r="L42" s="237"/>
      <c r="M42" s="55"/>
      <c r="N42" s="56"/>
    </row>
    <row r="43" spans="1:14" ht="12.75" x14ac:dyDescent="0.2">
      <c r="A43" s="55"/>
      <c r="B43" s="71"/>
      <c r="C43" s="84"/>
      <c r="D43" s="71"/>
      <c r="E43" s="71"/>
      <c r="F43" s="71"/>
      <c r="G43" s="71"/>
      <c r="H43" s="71"/>
      <c r="I43" s="71"/>
      <c r="J43" s="84"/>
      <c r="K43" s="84"/>
      <c r="L43" s="84"/>
      <c r="M43" s="78"/>
      <c r="N43" s="56"/>
    </row>
    <row r="44" spans="1:14" ht="12.75" x14ac:dyDescent="0.2">
      <c r="A44" s="56"/>
      <c r="B44" s="56"/>
      <c r="C44" s="73"/>
      <c r="D44" s="56"/>
      <c r="E44" s="56"/>
      <c r="F44" s="56"/>
      <c r="G44" s="56"/>
      <c r="H44" s="56"/>
      <c r="I44" s="56"/>
      <c r="J44" s="73"/>
      <c r="K44" s="73"/>
      <c r="L44" s="73"/>
      <c r="M44" s="56"/>
      <c r="N44" s="56"/>
    </row>
    <row r="45" spans="1:14" ht="14.25" x14ac:dyDescent="0.2">
      <c r="A45" s="56"/>
      <c r="B45" s="242" t="s">
        <v>491</v>
      </c>
      <c r="C45" s="165"/>
      <c r="D45" s="165"/>
      <c r="E45" s="165"/>
      <c r="F45" s="165"/>
      <c r="G45" s="56"/>
      <c r="H45" s="56"/>
      <c r="I45" s="246" t="s">
        <v>492</v>
      </c>
      <c r="J45" s="165"/>
      <c r="K45" s="165"/>
      <c r="L45" s="165"/>
      <c r="M45" s="165"/>
      <c r="N45" s="56"/>
    </row>
    <row r="46" spans="1:14" ht="8.25" customHeight="1" x14ac:dyDescent="0.2">
      <c r="A46" s="56"/>
      <c r="B46" s="56"/>
      <c r="C46" s="73"/>
      <c r="D46" s="56"/>
      <c r="E46" s="56"/>
      <c r="F46" s="56"/>
      <c r="G46" s="56"/>
      <c r="H46" s="56"/>
      <c r="I46" s="56"/>
      <c r="J46" s="73"/>
      <c r="K46" s="73"/>
      <c r="L46" s="73"/>
      <c r="M46" s="56"/>
      <c r="N46" s="56"/>
    </row>
    <row r="47" spans="1:14" ht="14.25" x14ac:dyDescent="0.2">
      <c r="A47" s="56"/>
      <c r="B47" s="244" t="s">
        <v>80</v>
      </c>
      <c r="C47" s="165"/>
      <c r="D47" s="165"/>
      <c r="E47" s="165"/>
      <c r="F47" s="165"/>
      <c r="G47" s="165"/>
      <c r="H47" s="165"/>
      <c r="I47" s="165"/>
      <c r="J47" s="165"/>
      <c r="K47" s="165"/>
      <c r="L47" s="165"/>
      <c r="M47" s="165"/>
      <c r="N47" s="56"/>
    </row>
    <row r="48" spans="1:14" ht="14.25" x14ac:dyDescent="0.2">
      <c r="A48" s="56"/>
      <c r="B48" s="244" t="s">
        <v>113</v>
      </c>
      <c r="C48" s="165"/>
      <c r="D48" s="165"/>
      <c r="E48" s="165"/>
      <c r="F48" s="165"/>
      <c r="G48" s="165"/>
      <c r="H48" s="165"/>
      <c r="I48" s="165"/>
      <c r="J48" s="165"/>
      <c r="K48" s="165"/>
      <c r="L48" s="165"/>
      <c r="M48" s="165"/>
      <c r="N48" s="56"/>
    </row>
    <row r="49" spans="1:14" ht="12.75" x14ac:dyDescent="0.2">
      <c r="A49" s="56"/>
      <c r="B49" s="56"/>
      <c r="C49" s="73"/>
      <c r="D49" s="56"/>
      <c r="E49" s="56"/>
      <c r="F49" s="56"/>
      <c r="G49" s="56"/>
      <c r="H49" s="56"/>
      <c r="I49" s="56"/>
      <c r="J49" s="73"/>
      <c r="K49" s="73"/>
      <c r="L49" s="73"/>
      <c r="M49" s="56"/>
      <c r="N49" s="56"/>
    </row>
    <row r="50" spans="1:14" ht="12.75" x14ac:dyDescent="0.2">
      <c r="A50" s="56"/>
      <c r="B50" s="56"/>
      <c r="C50" s="73"/>
      <c r="D50" s="56"/>
      <c r="E50" s="56"/>
      <c r="F50" s="56"/>
      <c r="G50" s="56"/>
      <c r="H50" s="56"/>
      <c r="I50" s="56"/>
      <c r="J50" s="73"/>
      <c r="K50" s="73"/>
      <c r="L50" s="73"/>
      <c r="M50" s="56"/>
      <c r="N50" s="56"/>
    </row>
    <row r="51" spans="1:14" ht="12.75" x14ac:dyDescent="0.2">
      <c r="A51" s="56"/>
      <c r="B51" s="56"/>
      <c r="C51" s="73"/>
      <c r="D51" s="56"/>
      <c r="E51" s="56"/>
      <c r="F51" s="56"/>
      <c r="G51" s="56"/>
      <c r="H51" s="56"/>
      <c r="I51" s="56"/>
      <c r="J51" s="73"/>
      <c r="K51" s="73"/>
      <c r="L51" s="73"/>
      <c r="M51" s="56"/>
      <c r="N51" s="56"/>
    </row>
    <row r="52" spans="1:14" ht="12.75" x14ac:dyDescent="0.2">
      <c r="C52" s="147"/>
      <c r="H52" s="49"/>
      <c r="J52" s="41"/>
      <c r="K52" s="41"/>
      <c r="L52" s="41"/>
    </row>
  </sheetData>
  <mergeCells count="30">
    <mergeCell ref="B47:M47"/>
    <mergeCell ref="B48:M48"/>
    <mergeCell ref="H29:J29"/>
    <mergeCell ref="B31:M31"/>
    <mergeCell ref="D33:F33"/>
    <mergeCell ref="H34:H35"/>
    <mergeCell ref="I34:I42"/>
    <mergeCell ref="L34:L42"/>
    <mergeCell ref="H38:H42"/>
    <mergeCell ref="K34:K42"/>
    <mergeCell ref="G34:G35"/>
    <mergeCell ref="G38:G42"/>
    <mergeCell ref="D34:F42"/>
    <mergeCell ref="B45:F45"/>
    <mergeCell ref="I45:M45"/>
    <mergeCell ref="H21:J21"/>
    <mergeCell ref="H23:J23"/>
    <mergeCell ref="H25:J25"/>
    <mergeCell ref="H27:J27"/>
    <mergeCell ref="J34:J42"/>
    <mergeCell ref="H11:J11"/>
    <mergeCell ref="H13:J13"/>
    <mergeCell ref="H15:J15"/>
    <mergeCell ref="H17:J17"/>
    <mergeCell ref="H19:J19"/>
    <mergeCell ref="B1:J1"/>
    <mergeCell ref="C4:F4"/>
    <mergeCell ref="B6:F6"/>
    <mergeCell ref="L6:M6"/>
    <mergeCell ref="B7:M7"/>
  </mergeCells>
  <hyperlinks>
    <hyperlink ref="C4" location="C9FinancialExample" display="Exercise 9.1 - Financial Chatbot" xr:uid="{00000000-0004-0000-1500-000000000000}"/>
    <hyperlink ref="L6" location="C9FinancialTitle" display="Back to top ↑" xr:uid="{00000000-0004-0000-1500-000001000000}"/>
    <hyperlink ref="B45" location="C9LegalTitle" display="← Chapter 9: Complex Prompts for Legal Services" xr:uid="{00000000-0004-0000-1500-000002000000}"/>
    <hyperlink ref="I45" location="C9CodingTitle" display="Chapter 9 Exercises: Complex Prompts for Coding →" xr:uid="{00000000-0004-0000-1500-000003000000}"/>
    <hyperlink ref="B47" location="C9FinancialTitle" display="Back to top ↑" xr:uid="{00000000-0004-0000-1500-000004000000}"/>
    <hyperlink ref="B48" location="IntroTitle" display="Table of Contents" xr:uid="{00000000-0004-0000-1500-000005000000}"/>
  </hyperlinks>
  <pageMargins left="0.7" right="0.7" top="0.75" bottom="0.75" header="0.3" footer="0.3"/>
  <pageSetup paperSize="9" scale="44" fitToHeight="0"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9900"/>
    <outlinePr summaryBelow="0" summaryRight="0"/>
    <pageSetUpPr fitToPage="1"/>
  </sheetPr>
  <dimension ref="A1:N54"/>
  <sheetViews>
    <sheetView showGridLines="0" workbookViewId="0"/>
  </sheetViews>
  <sheetFormatPr defaultColWidth="12.5703125" defaultRowHeight="15.75" customHeight="1" x14ac:dyDescent="0.2"/>
  <cols>
    <col min="1" max="1" width="5.42578125" customWidth="1"/>
    <col min="2" max="2" width="3" customWidth="1"/>
    <col min="3" max="3" width="4" customWidth="1"/>
    <col min="4" max="4" width="19.85546875" customWidth="1"/>
    <col min="5" max="5" width="1.42578125" customWidth="1"/>
    <col min="6" max="6" width="42.140625" customWidth="1"/>
    <col min="7" max="7" width="4" customWidth="1"/>
    <col min="8" max="8" width="29.7109375" customWidth="1"/>
    <col min="9" max="9" width="4" customWidth="1"/>
    <col min="10" max="10" width="34.85546875" customWidth="1"/>
    <col min="11" max="11" width="4" customWidth="1"/>
    <col min="12" max="12" width="47.42578125" customWidth="1"/>
    <col min="13" max="13" width="3" customWidth="1"/>
    <col min="14" max="14" width="5.42578125" customWidth="1"/>
  </cols>
  <sheetData>
    <row r="1" spans="1:14" ht="32.25" customHeight="1" x14ac:dyDescent="0.4">
      <c r="A1" s="67"/>
      <c r="B1" s="229" t="s">
        <v>493</v>
      </c>
      <c r="C1" s="165"/>
      <c r="D1" s="165"/>
      <c r="E1" s="165"/>
      <c r="F1" s="165"/>
      <c r="G1" s="165"/>
      <c r="H1" s="165"/>
      <c r="I1" s="165"/>
      <c r="J1" s="165"/>
      <c r="K1" s="83"/>
      <c r="L1" s="83"/>
      <c r="M1" s="68"/>
      <c r="N1" s="68"/>
    </row>
    <row r="2" spans="1:14" ht="21.75" customHeight="1" x14ac:dyDescent="0.2">
      <c r="A2" s="56"/>
      <c r="B2" s="56"/>
      <c r="C2" s="73"/>
      <c r="D2" s="56"/>
      <c r="E2" s="56"/>
      <c r="F2" s="56"/>
      <c r="G2" s="56"/>
      <c r="H2" s="56"/>
      <c r="I2" s="56"/>
      <c r="J2" s="73"/>
      <c r="K2" s="73"/>
      <c r="L2" s="73"/>
      <c r="M2" s="56"/>
      <c r="N2" s="56"/>
    </row>
    <row r="3" spans="1:14" ht="21.75" customHeight="1" x14ac:dyDescent="0.3">
      <c r="A3" s="56"/>
      <c r="B3" s="69" t="s">
        <v>76</v>
      </c>
      <c r="C3" s="56"/>
      <c r="D3" s="56"/>
      <c r="E3" s="56"/>
      <c r="F3" s="56"/>
      <c r="G3" s="56"/>
      <c r="H3" s="56"/>
      <c r="I3" s="56"/>
      <c r="J3" s="56"/>
      <c r="K3" s="56"/>
      <c r="L3" s="56"/>
      <c r="M3" s="56"/>
      <c r="N3" s="56"/>
    </row>
    <row r="4" spans="1:14" ht="15.75" customHeight="1" x14ac:dyDescent="0.2">
      <c r="A4" s="56"/>
      <c r="B4" s="56"/>
      <c r="C4" s="308" t="s">
        <v>494</v>
      </c>
      <c r="D4" s="165"/>
      <c r="E4" s="56"/>
      <c r="F4" s="56"/>
      <c r="G4" s="56"/>
      <c r="H4" s="56"/>
      <c r="I4" s="56"/>
      <c r="J4" s="56"/>
      <c r="K4" s="56"/>
      <c r="L4" s="56"/>
      <c r="M4" s="56"/>
      <c r="N4" s="56"/>
    </row>
    <row r="5" spans="1:14" ht="33.75" customHeight="1" x14ac:dyDescent="0.2">
      <c r="A5" s="56"/>
      <c r="B5" s="71"/>
      <c r="C5" s="71"/>
      <c r="D5" s="71"/>
      <c r="E5" s="71"/>
      <c r="F5" s="71"/>
      <c r="G5" s="71"/>
      <c r="H5" s="71"/>
      <c r="I5" s="71"/>
      <c r="J5" s="71"/>
      <c r="K5" s="71"/>
      <c r="L5" s="71"/>
      <c r="M5" s="71"/>
      <c r="N5" s="56"/>
    </row>
    <row r="6" spans="1:14" ht="29.25" customHeight="1" x14ac:dyDescent="0.2">
      <c r="A6" s="55"/>
      <c r="B6" s="231" t="s">
        <v>494</v>
      </c>
      <c r="C6" s="165"/>
      <c r="D6" s="165"/>
      <c r="E6" s="165"/>
      <c r="F6" s="165"/>
      <c r="G6" s="56"/>
      <c r="H6" s="56"/>
      <c r="I6" s="56"/>
      <c r="J6" s="73"/>
      <c r="K6" s="73"/>
      <c r="L6" s="232" t="s">
        <v>80</v>
      </c>
      <c r="M6" s="170"/>
      <c r="N6" s="56"/>
    </row>
    <row r="7" spans="1:14" ht="12.75" x14ac:dyDescent="0.2">
      <c r="A7" s="55"/>
      <c r="B7" s="284" t="s">
        <v>495</v>
      </c>
      <c r="C7" s="165"/>
      <c r="D7" s="165"/>
      <c r="E7" s="165"/>
      <c r="F7" s="165"/>
      <c r="G7" s="165"/>
      <c r="H7" s="165"/>
      <c r="I7" s="165"/>
      <c r="J7" s="165"/>
      <c r="K7" s="165"/>
      <c r="L7" s="165"/>
      <c r="M7" s="170"/>
      <c r="N7" s="56"/>
    </row>
    <row r="8" spans="1:14" ht="8.25" customHeight="1" x14ac:dyDescent="0.2">
      <c r="A8" s="55"/>
      <c r="B8" s="56"/>
      <c r="C8" s="73"/>
      <c r="D8" s="56"/>
      <c r="E8" s="56"/>
      <c r="F8" s="56"/>
      <c r="G8" s="56"/>
      <c r="H8" s="56"/>
      <c r="I8" s="56"/>
      <c r="J8" s="73"/>
      <c r="K8" s="73"/>
      <c r="L8" s="73"/>
      <c r="M8" s="55"/>
      <c r="N8" s="56"/>
    </row>
    <row r="9" spans="1:14" ht="15.75" customHeight="1" x14ac:dyDescent="0.25">
      <c r="A9" s="55"/>
      <c r="B9" s="56"/>
      <c r="C9" s="73"/>
      <c r="D9" s="139" t="s">
        <v>398</v>
      </c>
      <c r="E9" s="56"/>
      <c r="F9" s="139" t="s">
        <v>399</v>
      </c>
      <c r="G9" s="56"/>
      <c r="H9" s="140" t="s">
        <v>395</v>
      </c>
      <c r="I9" s="73"/>
      <c r="J9" s="73"/>
      <c r="K9" s="56"/>
      <c r="L9" s="141" t="s">
        <v>457</v>
      </c>
      <c r="M9" s="55"/>
      <c r="N9" s="56"/>
    </row>
    <row r="10" spans="1:14" ht="3.75" customHeight="1" x14ac:dyDescent="0.2">
      <c r="A10" s="55"/>
      <c r="B10" s="56"/>
      <c r="C10" s="73"/>
      <c r="D10" s="56"/>
      <c r="E10" s="56"/>
      <c r="F10" s="77"/>
      <c r="G10" s="56"/>
      <c r="H10" s="142"/>
      <c r="I10" s="142"/>
      <c r="J10" s="142"/>
      <c r="K10" s="56"/>
      <c r="L10" s="77"/>
      <c r="M10" s="55"/>
      <c r="N10" s="56"/>
    </row>
    <row r="11" spans="1:14" ht="38.25" x14ac:dyDescent="0.2">
      <c r="A11" s="55"/>
      <c r="B11" s="56"/>
      <c r="C11" s="143" t="s">
        <v>266</v>
      </c>
      <c r="D11" s="144" t="s">
        <v>401</v>
      </c>
      <c r="E11" s="58"/>
      <c r="F11" s="92" t="s">
        <v>402</v>
      </c>
      <c r="G11" s="58"/>
      <c r="H11" s="309" t="s">
        <v>403</v>
      </c>
      <c r="I11" s="292"/>
      <c r="J11" s="237"/>
      <c r="K11" s="58"/>
      <c r="L11" s="145" t="s">
        <v>496</v>
      </c>
      <c r="M11" s="55"/>
      <c r="N11" s="56"/>
    </row>
    <row r="12" spans="1:14" ht="15.75" customHeight="1" x14ac:dyDescent="0.2">
      <c r="A12" s="55"/>
      <c r="B12" s="56"/>
      <c r="C12" s="73"/>
      <c r="D12" s="73"/>
      <c r="E12" s="56"/>
      <c r="F12" s="142"/>
      <c r="G12" s="56"/>
      <c r="H12" s="142"/>
      <c r="I12" s="142"/>
      <c r="J12" s="142"/>
      <c r="K12" s="56"/>
      <c r="L12" s="142"/>
      <c r="M12" s="55"/>
      <c r="N12" s="56"/>
    </row>
    <row r="13" spans="1:14" ht="38.25" x14ac:dyDescent="0.2">
      <c r="A13" s="55"/>
      <c r="B13" s="56"/>
      <c r="C13" s="143" t="s">
        <v>268</v>
      </c>
      <c r="D13" s="144" t="s">
        <v>405</v>
      </c>
      <c r="E13" s="58"/>
      <c r="F13" s="92" t="s">
        <v>406</v>
      </c>
      <c r="G13" s="58"/>
      <c r="H13" s="309"/>
      <c r="I13" s="292"/>
      <c r="J13" s="237"/>
      <c r="K13" s="58"/>
      <c r="L13" s="145" t="s">
        <v>408</v>
      </c>
      <c r="M13" s="55"/>
      <c r="N13" s="56"/>
    </row>
    <row r="14" spans="1:14" ht="15.75" customHeight="1" x14ac:dyDescent="0.2">
      <c r="A14" s="55"/>
      <c r="B14" s="56"/>
      <c r="C14" s="56"/>
      <c r="D14" s="56"/>
      <c r="E14" s="56"/>
      <c r="F14" s="77"/>
      <c r="G14" s="56"/>
      <c r="H14" s="77"/>
      <c r="I14" s="77"/>
      <c r="J14" s="77"/>
      <c r="K14" s="56"/>
      <c r="L14" s="77"/>
      <c r="M14" s="55"/>
      <c r="N14" s="56"/>
    </row>
    <row r="15" spans="1:14" ht="30" x14ac:dyDescent="0.2">
      <c r="A15" s="55"/>
      <c r="B15" s="56"/>
      <c r="C15" s="143" t="s">
        <v>270</v>
      </c>
      <c r="D15" s="144" t="s">
        <v>483</v>
      </c>
      <c r="E15" s="58"/>
      <c r="F15" s="92" t="s">
        <v>410</v>
      </c>
      <c r="G15" s="58"/>
      <c r="H15" s="309"/>
      <c r="I15" s="292"/>
      <c r="J15" s="237"/>
      <c r="K15" s="58"/>
      <c r="L15" s="145" t="s">
        <v>412</v>
      </c>
      <c r="M15" s="55"/>
      <c r="N15" s="56"/>
    </row>
    <row r="16" spans="1:14" ht="15.75" customHeight="1" x14ac:dyDescent="0.2">
      <c r="A16" s="55"/>
      <c r="B16" s="56"/>
      <c r="C16" s="56"/>
      <c r="D16" s="56"/>
      <c r="E16" s="56"/>
      <c r="F16" s="77"/>
      <c r="G16" s="56"/>
      <c r="H16" s="77"/>
      <c r="I16" s="77"/>
      <c r="J16" s="77"/>
      <c r="K16" s="56"/>
      <c r="L16" s="77"/>
      <c r="M16" s="55"/>
      <c r="N16" s="56"/>
    </row>
    <row r="17" spans="1:14" ht="101.25" customHeight="1" x14ac:dyDescent="0.2">
      <c r="A17" s="55"/>
      <c r="B17" s="56"/>
      <c r="C17" s="143" t="s">
        <v>314</v>
      </c>
      <c r="D17" s="144" t="s">
        <v>413</v>
      </c>
      <c r="E17" s="58"/>
      <c r="F17" s="256" t="s">
        <v>497</v>
      </c>
      <c r="G17" s="58"/>
      <c r="H17" s="313"/>
      <c r="I17" s="165"/>
      <c r="J17" s="218"/>
      <c r="K17" s="58"/>
      <c r="L17" s="314" t="s">
        <v>416</v>
      </c>
      <c r="M17" s="55"/>
      <c r="N17" s="56"/>
    </row>
    <row r="18" spans="1:14" ht="101.25" customHeight="1" x14ac:dyDescent="0.2">
      <c r="A18" s="55"/>
      <c r="B18" s="56"/>
      <c r="C18" s="73"/>
      <c r="D18" s="73"/>
      <c r="E18" s="58"/>
      <c r="F18" s="237"/>
      <c r="G18" s="58"/>
      <c r="H18" s="292"/>
      <c r="I18" s="292"/>
      <c r="J18" s="237"/>
      <c r="K18" s="58"/>
      <c r="L18" s="237"/>
      <c r="M18" s="55"/>
      <c r="N18" s="56"/>
    </row>
    <row r="19" spans="1:14" ht="15.75" customHeight="1" x14ac:dyDescent="0.2">
      <c r="A19" s="55"/>
      <c r="B19" s="56"/>
      <c r="C19" s="73"/>
      <c r="D19" s="56"/>
      <c r="E19" s="56"/>
      <c r="F19" s="77"/>
      <c r="G19" s="56"/>
      <c r="H19" s="142"/>
      <c r="I19" s="142"/>
      <c r="J19" s="142"/>
      <c r="K19" s="56"/>
      <c r="L19" s="142"/>
      <c r="M19" s="55"/>
      <c r="N19" s="56"/>
    </row>
    <row r="20" spans="1:14" ht="98.25" customHeight="1" x14ac:dyDescent="0.2">
      <c r="A20" s="55"/>
      <c r="B20" s="56"/>
      <c r="C20" s="143" t="s">
        <v>417</v>
      </c>
      <c r="D20" s="144" t="s">
        <v>77</v>
      </c>
      <c r="E20" s="58"/>
      <c r="F20" s="256" t="s">
        <v>418</v>
      </c>
      <c r="G20" s="58"/>
      <c r="H20" s="313"/>
      <c r="I20" s="165"/>
      <c r="J20" s="218"/>
      <c r="K20" s="58"/>
      <c r="L20" s="314" t="s">
        <v>464</v>
      </c>
      <c r="M20" s="55"/>
      <c r="N20" s="56"/>
    </row>
    <row r="21" spans="1:14" ht="98.25" customHeight="1" x14ac:dyDescent="0.2">
      <c r="A21" s="55"/>
      <c r="B21" s="56"/>
      <c r="C21" s="73"/>
      <c r="D21" s="73"/>
      <c r="E21" s="58"/>
      <c r="F21" s="218"/>
      <c r="G21" s="58"/>
      <c r="H21" s="165"/>
      <c r="I21" s="165"/>
      <c r="J21" s="218"/>
      <c r="K21" s="58"/>
      <c r="L21" s="218"/>
      <c r="M21" s="55"/>
      <c r="N21" s="56"/>
    </row>
    <row r="22" spans="1:14" ht="98.25" customHeight="1" x14ac:dyDescent="0.2">
      <c r="A22" s="55"/>
      <c r="B22" s="56"/>
      <c r="C22" s="73"/>
      <c r="D22" s="73"/>
      <c r="E22" s="58"/>
      <c r="F22" s="237"/>
      <c r="G22" s="58"/>
      <c r="H22" s="292"/>
      <c r="I22" s="292"/>
      <c r="J22" s="237"/>
      <c r="K22" s="58"/>
      <c r="L22" s="237"/>
      <c r="M22" s="55"/>
      <c r="N22" s="56"/>
    </row>
    <row r="23" spans="1:14" ht="15.75" customHeight="1" x14ac:dyDescent="0.2">
      <c r="A23" s="55"/>
      <c r="B23" s="56"/>
      <c r="C23" s="73"/>
      <c r="D23" s="56"/>
      <c r="E23" s="56"/>
      <c r="F23" s="77"/>
      <c r="G23" s="56"/>
      <c r="H23" s="142"/>
      <c r="I23" s="142"/>
      <c r="J23" s="142"/>
      <c r="K23" s="56"/>
      <c r="L23" s="142"/>
      <c r="M23" s="55"/>
      <c r="N23" s="56"/>
    </row>
    <row r="24" spans="1:14" ht="38.25" x14ac:dyDescent="0.2">
      <c r="A24" s="55"/>
      <c r="B24" s="56"/>
      <c r="C24" s="143" t="s">
        <v>421</v>
      </c>
      <c r="D24" s="144" t="s">
        <v>422</v>
      </c>
      <c r="E24" s="58"/>
      <c r="F24" s="92" t="s">
        <v>498</v>
      </c>
      <c r="G24" s="58"/>
      <c r="H24" s="309"/>
      <c r="I24" s="292"/>
      <c r="J24" s="237"/>
      <c r="K24" s="58"/>
      <c r="L24" s="145" t="s">
        <v>499</v>
      </c>
      <c r="M24" s="55"/>
      <c r="N24" s="56"/>
    </row>
    <row r="25" spans="1:14" ht="15.75" customHeight="1" x14ac:dyDescent="0.2">
      <c r="A25" s="55"/>
      <c r="B25" s="56"/>
      <c r="C25" s="73"/>
      <c r="D25" s="56"/>
      <c r="E25" s="56"/>
      <c r="F25" s="77"/>
      <c r="G25" s="56"/>
      <c r="H25" s="142"/>
      <c r="I25" s="142"/>
      <c r="J25" s="142"/>
      <c r="K25" s="56"/>
      <c r="L25" s="142"/>
      <c r="M25" s="55"/>
      <c r="N25" s="56"/>
    </row>
    <row r="26" spans="1:14" ht="76.5" x14ac:dyDescent="0.2">
      <c r="A26" s="55"/>
      <c r="B26" s="56"/>
      <c r="C26" s="143" t="s">
        <v>426</v>
      </c>
      <c r="D26" s="144" t="s">
        <v>427</v>
      </c>
      <c r="E26" s="58"/>
      <c r="F26" s="92" t="s">
        <v>428</v>
      </c>
      <c r="G26" s="58"/>
      <c r="H26" s="309"/>
      <c r="I26" s="292"/>
      <c r="J26" s="237"/>
      <c r="K26" s="58"/>
      <c r="L26" s="145" t="s">
        <v>430</v>
      </c>
      <c r="M26" s="55"/>
      <c r="N26" s="56"/>
    </row>
    <row r="27" spans="1:14" ht="15.75" customHeight="1" x14ac:dyDescent="0.2">
      <c r="A27" s="55"/>
      <c r="B27" s="56"/>
      <c r="C27" s="73"/>
      <c r="D27" s="56"/>
      <c r="E27" s="56"/>
      <c r="F27" s="77"/>
      <c r="G27" s="56"/>
      <c r="H27" s="142"/>
      <c r="I27" s="142"/>
      <c r="J27" s="142"/>
      <c r="K27" s="56"/>
      <c r="L27" s="142"/>
      <c r="M27" s="55"/>
      <c r="N27" s="56"/>
    </row>
    <row r="28" spans="1:14" ht="63.75" x14ac:dyDescent="0.2">
      <c r="A28" s="55"/>
      <c r="B28" s="56"/>
      <c r="C28" s="143" t="s">
        <v>431</v>
      </c>
      <c r="D28" s="144" t="s">
        <v>466</v>
      </c>
      <c r="E28" s="58"/>
      <c r="F28" s="92" t="s">
        <v>433</v>
      </c>
      <c r="G28" s="58"/>
      <c r="H28" s="318"/>
      <c r="I28" s="292"/>
      <c r="J28" s="237"/>
      <c r="K28" s="58"/>
      <c r="L28" s="145" t="s">
        <v>500</v>
      </c>
      <c r="M28" s="55"/>
      <c r="N28" s="56"/>
    </row>
    <row r="29" spans="1:14" ht="15.75" customHeight="1" x14ac:dyDescent="0.2">
      <c r="A29" s="55"/>
      <c r="B29" s="56"/>
      <c r="C29" s="73"/>
      <c r="D29" s="56"/>
      <c r="E29" s="56"/>
      <c r="F29" s="77"/>
      <c r="G29" s="56"/>
      <c r="H29" s="142"/>
      <c r="I29" s="142"/>
      <c r="J29" s="142"/>
      <c r="K29" s="56"/>
      <c r="L29" s="142"/>
      <c r="M29" s="55"/>
      <c r="N29" s="56"/>
    </row>
    <row r="30" spans="1:14" ht="84" customHeight="1" x14ac:dyDescent="0.2">
      <c r="A30" s="55"/>
      <c r="B30" s="56"/>
      <c r="C30" s="143" t="s">
        <v>436</v>
      </c>
      <c r="D30" s="144" t="s">
        <v>469</v>
      </c>
      <c r="E30" s="58"/>
      <c r="F30" s="256" t="s">
        <v>438</v>
      </c>
      <c r="G30" s="58"/>
      <c r="H30" s="313"/>
      <c r="I30" s="165"/>
      <c r="J30" s="218"/>
      <c r="K30" s="58"/>
      <c r="L30" s="314" t="s">
        <v>501</v>
      </c>
      <c r="M30" s="55"/>
      <c r="N30" s="56"/>
    </row>
    <row r="31" spans="1:14" ht="84" customHeight="1" x14ac:dyDescent="0.2">
      <c r="A31" s="55"/>
      <c r="B31" s="56"/>
      <c r="C31" s="73"/>
      <c r="D31" s="73"/>
      <c r="E31" s="58"/>
      <c r="F31" s="237"/>
      <c r="G31" s="58"/>
      <c r="H31" s="292"/>
      <c r="I31" s="292"/>
      <c r="J31" s="237"/>
      <c r="K31" s="58"/>
      <c r="L31" s="237"/>
      <c r="M31" s="55"/>
      <c r="N31" s="56"/>
    </row>
    <row r="32" spans="1:14" ht="15.75" customHeight="1" x14ac:dyDescent="0.2">
      <c r="A32" s="55"/>
      <c r="B32" s="56"/>
      <c r="C32" s="73"/>
      <c r="D32" s="56"/>
      <c r="E32" s="56"/>
      <c r="F32" s="77"/>
      <c r="G32" s="56"/>
      <c r="H32" s="142"/>
      <c r="I32" s="142"/>
      <c r="J32" s="142"/>
      <c r="K32" s="56"/>
      <c r="L32" s="142"/>
      <c r="M32" s="55"/>
      <c r="N32" s="56"/>
    </row>
    <row r="33" spans="1:14" ht="114.75" x14ac:dyDescent="0.2">
      <c r="A33" s="55"/>
      <c r="B33" s="56"/>
      <c r="C33" s="143" t="s">
        <v>441</v>
      </c>
      <c r="D33" s="144" t="s">
        <v>442</v>
      </c>
      <c r="E33" s="58"/>
      <c r="F33" s="92" t="s">
        <v>502</v>
      </c>
      <c r="G33" s="58"/>
      <c r="H33" s="318"/>
      <c r="I33" s="292"/>
      <c r="J33" s="237"/>
      <c r="K33" s="58"/>
      <c r="L33" s="145" t="s">
        <v>445</v>
      </c>
      <c r="M33" s="55"/>
      <c r="N33" s="56"/>
    </row>
    <row r="34" spans="1:14" ht="22.5" customHeight="1" x14ac:dyDescent="0.2">
      <c r="A34" s="55"/>
      <c r="B34" s="56"/>
      <c r="C34" s="73"/>
      <c r="D34" s="56"/>
      <c r="E34" s="56"/>
      <c r="F34" s="56"/>
      <c r="G34" s="56"/>
      <c r="H34" s="56"/>
      <c r="I34" s="56"/>
      <c r="J34" s="73"/>
      <c r="K34" s="73"/>
      <c r="L34" s="73"/>
      <c r="M34" s="55"/>
      <c r="N34" s="56"/>
    </row>
    <row r="35" spans="1:14" ht="15" x14ac:dyDescent="0.25">
      <c r="A35" s="55"/>
      <c r="B35" s="235" t="s">
        <v>503</v>
      </c>
      <c r="C35" s="165"/>
      <c r="D35" s="165"/>
      <c r="E35" s="165"/>
      <c r="F35" s="165"/>
      <c r="G35" s="165"/>
      <c r="H35" s="165"/>
      <c r="I35" s="165"/>
      <c r="J35" s="165"/>
      <c r="K35" s="165"/>
      <c r="L35" s="165"/>
      <c r="M35" s="170"/>
      <c r="N35" s="56"/>
    </row>
    <row r="36" spans="1:14" ht="8.25" customHeight="1" x14ac:dyDescent="0.2">
      <c r="A36" s="55"/>
      <c r="B36" s="56"/>
      <c r="C36" s="73"/>
      <c r="D36" s="56"/>
      <c r="E36" s="56"/>
      <c r="F36" s="56"/>
      <c r="G36" s="56"/>
      <c r="H36" s="56"/>
      <c r="I36" s="56"/>
      <c r="J36" s="73"/>
      <c r="K36" s="73"/>
      <c r="L36" s="73"/>
      <c r="M36" s="55"/>
      <c r="N36" s="56"/>
    </row>
    <row r="37" spans="1:14" ht="15" x14ac:dyDescent="0.25">
      <c r="A37" s="55"/>
      <c r="B37" s="56"/>
      <c r="C37" s="73"/>
      <c r="D37" s="310" t="s">
        <v>447</v>
      </c>
      <c r="E37" s="275"/>
      <c r="F37" s="275"/>
      <c r="G37" s="56"/>
      <c r="H37" s="86" t="s">
        <v>504</v>
      </c>
      <c r="I37" s="56"/>
      <c r="J37" s="86" t="s">
        <v>449</v>
      </c>
      <c r="K37" s="56"/>
      <c r="L37" s="86" t="s">
        <v>91</v>
      </c>
      <c r="M37" s="55"/>
      <c r="N37" s="56"/>
    </row>
    <row r="38" spans="1:14" ht="48" customHeight="1" x14ac:dyDescent="0.2">
      <c r="A38" s="55"/>
      <c r="B38" s="56"/>
      <c r="C38" s="146"/>
      <c r="D38" s="311" t="str">
        <f>CONCATENATE(H11," ",H13,IF(ISBLANK(H15),"",CHAR(10)&amp;CHAR(10)&amp;H15),IF(ISBLANK(H17),"",CHAR(10)&amp;CHAR(10)&amp;H17),IF(ISBLANK(H20),"",CHAR(10)&amp;CHAR(10)&amp;H20),IF(ISBLANK(H24),"",CHAR(10)&amp;CHAR(10)&amp;H24),IF(ISBLANK(H26),"",CHAR(10)&amp;CHAR(10)&amp;H26),IF(ISBLANK(H28),"",CHAR(10)&amp;CHAR(10)&amp;H28),IF(ISBLANK(H30),"",CHAR(10)&amp;CHAR(10)&amp;H30),IF(ISBLANK(H33),"",CHAR(10)&amp;H33))</f>
        <v xml:space="preserve">User: </v>
      </c>
      <c r="E38" s="165"/>
      <c r="F38" s="273"/>
      <c r="G38" s="255" t="s">
        <v>188</v>
      </c>
      <c r="H38" s="256" t="s">
        <v>505</v>
      </c>
      <c r="I38" s="257" t="s">
        <v>190</v>
      </c>
      <c r="J38" s="240" t="str">
        <f>SUBSTITUTE(D38,"{{CODE}}",H38)</f>
        <v xml:space="preserve">User: </v>
      </c>
      <c r="K38" s="259" t="s">
        <v>93</v>
      </c>
      <c r="L38" s="245" t="e">
        <f ca="1">claudeMessages(J38, 'Tutorial How-To'!$E$37,"temperature",0)</f>
        <v>#NAME?</v>
      </c>
      <c r="M38" s="55"/>
      <c r="N38" s="56"/>
    </row>
    <row r="39" spans="1:14" ht="48" customHeight="1" x14ac:dyDescent="0.2">
      <c r="A39" s="55"/>
      <c r="B39" s="56"/>
      <c r="C39" s="146"/>
      <c r="D39" s="165"/>
      <c r="E39" s="165"/>
      <c r="F39" s="273"/>
      <c r="G39" s="218"/>
      <c r="H39" s="218"/>
      <c r="I39" s="218"/>
      <c r="J39" s="218"/>
      <c r="K39" s="218"/>
      <c r="L39" s="206"/>
      <c r="M39" s="55"/>
      <c r="N39" s="56"/>
    </row>
    <row r="40" spans="1:14" ht="48" customHeight="1" x14ac:dyDescent="0.2">
      <c r="A40" s="55"/>
      <c r="B40" s="56"/>
      <c r="C40" s="146"/>
      <c r="D40" s="165"/>
      <c r="E40" s="165"/>
      <c r="F40" s="273"/>
      <c r="G40" s="218"/>
      <c r="H40" s="218"/>
      <c r="I40" s="218"/>
      <c r="J40" s="218"/>
      <c r="K40" s="218"/>
      <c r="L40" s="206"/>
      <c r="M40" s="55"/>
      <c r="N40" s="56"/>
    </row>
    <row r="41" spans="1:14" ht="48" customHeight="1" x14ac:dyDescent="0.2">
      <c r="A41" s="55"/>
      <c r="B41" s="56"/>
      <c r="C41" s="146"/>
      <c r="D41" s="165"/>
      <c r="E41" s="165"/>
      <c r="F41" s="273"/>
      <c r="G41" s="218"/>
      <c r="H41" s="218"/>
      <c r="I41" s="218"/>
      <c r="J41" s="218"/>
      <c r="K41" s="218"/>
      <c r="L41" s="206"/>
      <c r="M41" s="55"/>
      <c r="N41" s="56"/>
    </row>
    <row r="42" spans="1:14" ht="48" customHeight="1" x14ac:dyDescent="0.2">
      <c r="A42" s="55"/>
      <c r="B42" s="56"/>
      <c r="C42" s="146"/>
      <c r="D42" s="165"/>
      <c r="E42" s="165"/>
      <c r="F42" s="273"/>
      <c r="G42" s="218"/>
      <c r="H42" s="218"/>
      <c r="I42" s="218"/>
      <c r="J42" s="218"/>
      <c r="K42" s="218"/>
      <c r="L42" s="206"/>
      <c r="M42" s="55"/>
      <c r="N42" s="56"/>
    </row>
    <row r="43" spans="1:14" ht="48" customHeight="1" x14ac:dyDescent="0.2">
      <c r="A43" s="55"/>
      <c r="B43" s="56"/>
      <c r="C43" s="146"/>
      <c r="D43" s="165"/>
      <c r="E43" s="165"/>
      <c r="F43" s="273"/>
      <c r="G43" s="218"/>
      <c r="H43" s="218"/>
      <c r="I43" s="218"/>
      <c r="J43" s="218"/>
      <c r="K43" s="218"/>
      <c r="L43" s="206"/>
      <c r="M43" s="55"/>
      <c r="N43" s="56"/>
    </row>
    <row r="44" spans="1:14" ht="48" customHeight="1" x14ac:dyDescent="0.2">
      <c r="A44" s="55"/>
      <c r="B44" s="56"/>
      <c r="C44" s="146"/>
      <c r="D44" s="275"/>
      <c r="E44" s="275"/>
      <c r="F44" s="276"/>
      <c r="G44" s="218"/>
      <c r="H44" s="237"/>
      <c r="I44" s="218"/>
      <c r="J44" s="237"/>
      <c r="K44" s="218"/>
      <c r="L44" s="207"/>
      <c r="M44" s="55"/>
      <c r="N44" s="56"/>
    </row>
    <row r="45" spans="1:14" ht="15.75" customHeight="1" x14ac:dyDescent="0.2">
      <c r="A45" s="55"/>
      <c r="B45" s="71"/>
      <c r="C45" s="84"/>
      <c r="D45" s="71"/>
      <c r="E45" s="71"/>
      <c r="F45" s="71"/>
      <c r="G45" s="71"/>
      <c r="H45" s="71"/>
      <c r="I45" s="71"/>
      <c r="J45" s="84"/>
      <c r="K45" s="84"/>
      <c r="L45" s="84"/>
      <c r="M45" s="78"/>
      <c r="N45" s="56"/>
    </row>
    <row r="46" spans="1:14" ht="12.75" x14ac:dyDescent="0.2">
      <c r="A46" s="56"/>
      <c r="B46" s="56"/>
      <c r="C46" s="73"/>
      <c r="D46" s="56"/>
      <c r="E46" s="56"/>
      <c r="F46" s="56"/>
      <c r="G46" s="56"/>
      <c r="H46" s="56"/>
      <c r="I46" s="56"/>
      <c r="J46" s="73"/>
      <c r="K46" s="73"/>
      <c r="L46" s="73"/>
      <c r="M46" s="56"/>
      <c r="N46" s="56"/>
    </row>
    <row r="47" spans="1:14" ht="14.25" x14ac:dyDescent="0.2">
      <c r="A47" s="56"/>
      <c r="B47" s="260" t="s">
        <v>506</v>
      </c>
      <c r="C47" s="165"/>
      <c r="D47" s="165"/>
      <c r="E47" s="165"/>
      <c r="F47" s="165"/>
      <c r="G47" s="56"/>
      <c r="H47" s="56"/>
      <c r="I47" s="246" t="s">
        <v>507</v>
      </c>
      <c r="J47" s="165"/>
      <c r="K47" s="165"/>
      <c r="L47" s="165"/>
      <c r="M47" s="165"/>
      <c r="N47" s="56"/>
    </row>
    <row r="48" spans="1:14" ht="8.25" customHeight="1" x14ac:dyDescent="0.2">
      <c r="A48" s="56"/>
      <c r="B48" s="56"/>
      <c r="C48" s="56"/>
      <c r="D48" s="56"/>
      <c r="E48" s="56"/>
      <c r="F48" s="56"/>
      <c r="G48" s="56"/>
      <c r="H48" s="56"/>
      <c r="I48" s="56"/>
      <c r="J48" s="56"/>
      <c r="K48" s="56"/>
      <c r="L48" s="56"/>
      <c r="M48" s="56"/>
      <c r="N48" s="56"/>
    </row>
    <row r="49" spans="1:14" ht="14.25" x14ac:dyDescent="0.2">
      <c r="A49" s="56"/>
      <c r="B49" s="261" t="s">
        <v>80</v>
      </c>
      <c r="C49" s="165"/>
      <c r="D49" s="165"/>
      <c r="E49" s="165"/>
      <c r="F49" s="165"/>
      <c r="G49" s="165"/>
      <c r="H49" s="165"/>
      <c r="I49" s="165"/>
      <c r="J49" s="165"/>
      <c r="K49" s="165"/>
      <c r="L49" s="165"/>
      <c r="M49" s="165"/>
      <c r="N49" s="56"/>
    </row>
    <row r="50" spans="1:14" ht="14.25" x14ac:dyDescent="0.2">
      <c r="A50" s="56"/>
      <c r="B50" s="261" t="s">
        <v>113</v>
      </c>
      <c r="C50" s="165"/>
      <c r="D50" s="165"/>
      <c r="E50" s="165"/>
      <c r="F50" s="165"/>
      <c r="G50" s="165"/>
      <c r="H50" s="165"/>
      <c r="I50" s="165"/>
      <c r="J50" s="165"/>
      <c r="K50" s="165"/>
      <c r="L50" s="165"/>
      <c r="M50" s="165"/>
      <c r="N50" s="56"/>
    </row>
    <row r="51" spans="1:14" ht="12.75" x14ac:dyDescent="0.2">
      <c r="A51" s="56"/>
      <c r="B51" s="56"/>
      <c r="C51" s="73"/>
      <c r="D51" s="56"/>
      <c r="E51" s="56"/>
      <c r="F51" s="56"/>
      <c r="G51" s="56"/>
      <c r="H51" s="56"/>
      <c r="I51" s="56"/>
      <c r="J51" s="73"/>
      <c r="K51" s="73"/>
      <c r="L51" s="73"/>
      <c r="M51" s="56"/>
      <c r="N51" s="56"/>
    </row>
    <row r="52" spans="1:14" ht="12.75" x14ac:dyDescent="0.2">
      <c r="A52" s="56"/>
      <c r="B52" s="56"/>
      <c r="C52" s="73"/>
      <c r="D52" s="56"/>
      <c r="E52" s="56"/>
      <c r="F52" s="56"/>
      <c r="G52" s="56"/>
      <c r="H52" s="56"/>
      <c r="I52" s="56"/>
      <c r="J52" s="73"/>
      <c r="K52" s="73"/>
      <c r="L52" s="73"/>
      <c r="M52" s="56"/>
      <c r="N52" s="56"/>
    </row>
    <row r="53" spans="1:14" ht="12.75" x14ac:dyDescent="0.2">
      <c r="A53" s="56"/>
      <c r="B53" s="56"/>
      <c r="C53" s="73"/>
      <c r="D53" s="56"/>
      <c r="E53" s="56"/>
      <c r="F53" s="56"/>
      <c r="G53" s="56"/>
      <c r="H53" s="56"/>
      <c r="I53" s="56"/>
      <c r="J53" s="73"/>
      <c r="K53" s="73"/>
      <c r="L53" s="73"/>
      <c r="M53" s="56"/>
      <c r="N53" s="56"/>
    </row>
    <row r="54" spans="1:14" ht="12.75" x14ac:dyDescent="0.2">
      <c r="A54" s="56"/>
      <c r="B54" s="56"/>
      <c r="C54" s="73"/>
      <c r="D54" s="56"/>
      <c r="E54" s="56"/>
      <c r="F54" s="56"/>
      <c r="G54" s="56"/>
      <c r="H54" s="56"/>
      <c r="I54" s="56"/>
      <c r="J54" s="73"/>
      <c r="K54" s="73"/>
      <c r="L54" s="73"/>
      <c r="M54" s="56"/>
      <c r="N54" s="56"/>
    </row>
  </sheetData>
  <mergeCells count="34">
    <mergeCell ref="B49:M49"/>
    <mergeCell ref="B50:M50"/>
    <mergeCell ref="F30:F31"/>
    <mergeCell ref="D37:F37"/>
    <mergeCell ref="D38:F44"/>
    <mergeCell ref="G38:G44"/>
    <mergeCell ref="H38:H44"/>
    <mergeCell ref="I38:I44"/>
    <mergeCell ref="J38:J44"/>
    <mergeCell ref="B35:M35"/>
    <mergeCell ref="K38:K44"/>
    <mergeCell ref="L38:L44"/>
    <mergeCell ref="I47:M47"/>
    <mergeCell ref="B47:F47"/>
    <mergeCell ref="H26:J26"/>
    <mergeCell ref="H28:J28"/>
    <mergeCell ref="H30:J31"/>
    <mergeCell ref="L30:L31"/>
    <mergeCell ref="H33:J33"/>
    <mergeCell ref="L17:L18"/>
    <mergeCell ref="F20:F22"/>
    <mergeCell ref="H20:J22"/>
    <mergeCell ref="L20:L22"/>
    <mergeCell ref="H24:J24"/>
    <mergeCell ref="H11:J11"/>
    <mergeCell ref="H13:J13"/>
    <mergeCell ref="H15:J15"/>
    <mergeCell ref="F17:F18"/>
    <mergeCell ref="H17:J18"/>
    <mergeCell ref="B1:J1"/>
    <mergeCell ref="C4:D4"/>
    <mergeCell ref="B6:F6"/>
    <mergeCell ref="L6:M6"/>
    <mergeCell ref="B7:M7"/>
  </mergeCells>
  <conditionalFormatting sqref="L38:L44">
    <cfRule type="containsText" dxfId="0" priority="1" operator="containsText" text="ZeroDivision">
      <formula>NOT(ISERROR(SEARCH(("ZeroDivision"),(L38))))</formula>
    </cfRule>
  </conditionalFormatting>
  <hyperlinks>
    <hyperlink ref="C4" location="C9CodingExercise" display="Exercise 9.2 - Codebot" xr:uid="{00000000-0004-0000-1600-000000000000}"/>
    <hyperlink ref="L6" location="C9CodingTitle" display="Back to top ↑" xr:uid="{00000000-0004-0000-1600-000001000000}"/>
    <hyperlink ref="B47" location="C9FinancialTitle" display="← Chapter 9: Complex Prompts for Financial Services" xr:uid="{00000000-0004-0000-1600-000002000000}"/>
    <hyperlink ref="I47" location="C9CongratsTitle" display="Chapter 9: Congratulations &amp; Next Steps →" xr:uid="{00000000-0004-0000-1600-000003000000}"/>
    <hyperlink ref="B49" location="C9CodingTitle" display="Back to top ↑" xr:uid="{00000000-0004-0000-1600-000004000000}"/>
    <hyperlink ref="B50" location="IntroTitle" display="Table of Contents" xr:uid="{00000000-0004-0000-1600-000005000000}"/>
  </hyperlinks>
  <pageMargins left="0.7" right="0.7" top="0.75" bottom="0.75" header="0.3" footer="0.3"/>
  <pageSetup paperSize="9" scale="42" fitToHeight="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9900"/>
    <outlinePr summaryBelow="0" summaryRight="0"/>
    <pageSetUpPr fitToPage="1"/>
  </sheetPr>
  <dimension ref="A1:I31"/>
  <sheetViews>
    <sheetView showGridLines="0" workbookViewId="0"/>
  </sheetViews>
  <sheetFormatPr defaultColWidth="12.5703125" defaultRowHeight="15.75" customHeight="1" x14ac:dyDescent="0.2"/>
  <cols>
    <col min="1" max="1" width="5.42578125" customWidth="1"/>
    <col min="2" max="2" width="3" customWidth="1"/>
    <col min="3" max="3" width="50.42578125" customWidth="1"/>
    <col min="4" max="4" width="4" customWidth="1"/>
    <col min="5" max="5" width="22.42578125" customWidth="1"/>
    <col min="6" max="6" width="31.85546875" customWidth="1"/>
    <col min="7" max="7" width="3" customWidth="1"/>
    <col min="8" max="9" width="5.42578125" customWidth="1"/>
  </cols>
  <sheetData>
    <row r="1" spans="1:9" ht="32.25" customHeight="1" x14ac:dyDescent="0.4">
      <c r="A1" s="1"/>
      <c r="B1" s="164" t="s">
        <v>508</v>
      </c>
      <c r="C1" s="165"/>
      <c r="D1" s="165"/>
      <c r="E1" s="165"/>
      <c r="F1" s="2"/>
      <c r="G1" s="3"/>
      <c r="H1" s="3"/>
      <c r="I1" s="3"/>
    </row>
    <row r="2" spans="1:9" ht="21.75" customHeight="1" x14ac:dyDescent="0.2"/>
    <row r="3" spans="1:9" ht="21.75" customHeight="1" x14ac:dyDescent="0.3">
      <c r="A3" s="16"/>
      <c r="B3" s="194" t="s">
        <v>76</v>
      </c>
      <c r="C3" s="165"/>
    </row>
    <row r="4" spans="1:9" ht="15.75" customHeight="1" x14ac:dyDescent="0.2">
      <c r="A4" s="16"/>
      <c r="C4" s="40" t="s">
        <v>509</v>
      </c>
    </row>
    <row r="5" spans="1:9" ht="33.75" customHeight="1" x14ac:dyDescent="0.2"/>
    <row r="6" spans="1:9" ht="29.25" customHeight="1" x14ac:dyDescent="0.2">
      <c r="A6" s="41"/>
      <c r="B6" s="195" t="s">
        <v>510</v>
      </c>
      <c r="C6" s="196"/>
      <c r="D6" s="196"/>
      <c r="E6" s="196"/>
      <c r="F6" s="197" t="s">
        <v>80</v>
      </c>
      <c r="G6" s="198"/>
      <c r="H6" s="41"/>
      <c r="I6" s="41"/>
    </row>
    <row r="7" spans="1:9" ht="12.75" x14ac:dyDescent="0.2">
      <c r="B7" s="200" t="s">
        <v>511</v>
      </c>
      <c r="C7" s="165"/>
      <c r="D7" s="165"/>
      <c r="E7" s="165"/>
      <c r="F7" s="165"/>
      <c r="G7" s="170"/>
    </row>
    <row r="8" spans="1:9" ht="14.25" x14ac:dyDescent="0.2">
      <c r="B8" s="148"/>
      <c r="C8" s="149"/>
      <c r="D8" s="149"/>
      <c r="E8" s="149"/>
      <c r="F8" s="149"/>
      <c r="G8" s="150"/>
    </row>
    <row r="9" spans="1:9" ht="18.75" customHeight="1" x14ac:dyDescent="0.2">
      <c r="A9" s="25"/>
      <c r="B9" s="321" t="s">
        <v>512</v>
      </c>
      <c r="C9" s="165"/>
      <c r="D9" s="165"/>
      <c r="E9" s="165"/>
      <c r="F9" s="165"/>
      <c r="G9" s="170"/>
      <c r="H9" s="25"/>
      <c r="I9" s="25"/>
    </row>
    <row r="10" spans="1:9" ht="15" x14ac:dyDescent="0.2">
      <c r="B10" s="151" t="s">
        <v>513</v>
      </c>
      <c r="C10" s="322" t="s">
        <v>514</v>
      </c>
      <c r="D10" s="165"/>
      <c r="E10" s="165"/>
      <c r="F10" s="165"/>
      <c r="G10" s="170"/>
    </row>
    <row r="11" spans="1:9" ht="15" x14ac:dyDescent="0.2">
      <c r="B11" s="151" t="s">
        <v>513</v>
      </c>
      <c r="C11" s="325" t="s">
        <v>515</v>
      </c>
      <c r="D11" s="165"/>
      <c r="E11" s="165"/>
      <c r="F11" s="165"/>
      <c r="G11" s="170"/>
    </row>
    <row r="12" spans="1:9" ht="15" x14ac:dyDescent="0.2">
      <c r="A12" s="56"/>
      <c r="B12" s="151" t="s">
        <v>513</v>
      </c>
      <c r="C12" s="325" t="s">
        <v>516</v>
      </c>
      <c r="D12" s="165"/>
      <c r="E12" s="165"/>
      <c r="F12" s="165"/>
      <c r="G12" s="170"/>
      <c r="H12" s="56"/>
      <c r="I12" s="56"/>
    </row>
    <row r="13" spans="1:9" ht="15" x14ac:dyDescent="0.2">
      <c r="A13" s="56"/>
      <c r="B13" s="151" t="s">
        <v>513</v>
      </c>
      <c r="C13" s="325" t="s">
        <v>517</v>
      </c>
      <c r="D13" s="165"/>
      <c r="E13" s="165"/>
      <c r="F13" s="165"/>
      <c r="G13" s="170"/>
      <c r="H13" s="56"/>
      <c r="I13" s="56"/>
    </row>
    <row r="14" spans="1:9" ht="15" x14ac:dyDescent="0.2">
      <c r="A14" s="55"/>
      <c r="B14" s="152" t="s">
        <v>513</v>
      </c>
      <c r="C14" s="326" t="s">
        <v>518</v>
      </c>
      <c r="D14" s="165"/>
      <c r="E14" s="165"/>
      <c r="F14" s="165"/>
      <c r="G14" s="170"/>
      <c r="H14" s="56"/>
      <c r="I14" s="56"/>
    </row>
    <row r="15" spans="1:9" ht="15" x14ac:dyDescent="0.2">
      <c r="A15" s="55"/>
      <c r="B15" s="152" t="s">
        <v>513</v>
      </c>
      <c r="C15" s="326" t="s">
        <v>519</v>
      </c>
      <c r="D15" s="165"/>
      <c r="E15" s="165"/>
      <c r="F15" s="165"/>
      <c r="G15" s="170"/>
      <c r="H15" s="56"/>
      <c r="I15" s="56"/>
    </row>
    <row r="16" spans="1:9" ht="15" x14ac:dyDescent="0.2">
      <c r="A16" s="55"/>
      <c r="B16" s="152" t="s">
        <v>513</v>
      </c>
      <c r="C16" s="326" t="s">
        <v>520</v>
      </c>
      <c r="D16" s="165"/>
      <c r="E16" s="165"/>
      <c r="F16" s="165"/>
      <c r="G16" s="170"/>
      <c r="H16" s="56"/>
      <c r="I16" s="56"/>
    </row>
    <row r="17" spans="1:9" ht="15" x14ac:dyDescent="0.2">
      <c r="B17" s="151" t="s">
        <v>513</v>
      </c>
      <c r="C17" s="224" t="s">
        <v>521</v>
      </c>
      <c r="D17" s="165"/>
      <c r="E17" s="165"/>
      <c r="F17" s="165"/>
      <c r="G17" s="170"/>
    </row>
    <row r="18" spans="1:9" ht="14.25" x14ac:dyDescent="0.2">
      <c r="B18" s="148"/>
      <c r="C18" s="149"/>
      <c r="D18" s="149"/>
      <c r="E18" s="149"/>
      <c r="F18" s="149"/>
      <c r="G18" s="150"/>
    </row>
    <row r="19" spans="1:9" ht="15.75" customHeight="1" x14ac:dyDescent="0.2">
      <c r="A19" s="25"/>
      <c r="B19" s="321" t="s">
        <v>522</v>
      </c>
      <c r="C19" s="165"/>
      <c r="D19" s="165"/>
      <c r="E19" s="165"/>
      <c r="F19" s="165"/>
      <c r="G19" s="170"/>
      <c r="H19" s="25"/>
      <c r="I19" s="25"/>
    </row>
    <row r="20" spans="1:9" ht="8.25" customHeight="1" x14ac:dyDescent="0.2">
      <c r="B20" s="15"/>
      <c r="G20" s="17"/>
    </row>
    <row r="21" spans="1:9" ht="15.75" customHeight="1" x14ac:dyDescent="0.2">
      <c r="B21" s="15"/>
      <c r="C21" s="18" t="s">
        <v>90</v>
      </c>
      <c r="E21" s="18" t="s">
        <v>91</v>
      </c>
      <c r="F21" s="18"/>
      <c r="G21" s="17"/>
    </row>
    <row r="22" spans="1:9" ht="63" customHeight="1" x14ac:dyDescent="0.2">
      <c r="B22" s="15"/>
      <c r="C22" s="205" t="s">
        <v>523</v>
      </c>
      <c r="D22" s="147" t="s">
        <v>93</v>
      </c>
      <c r="E22" s="323" t="e">
        <f ca="1">claudeMessages(C22, 'Tutorial How-To'!$E$37,"temperature",0)</f>
        <v>#NAME?</v>
      </c>
      <c r="F22" s="290"/>
      <c r="G22" s="17"/>
    </row>
    <row r="23" spans="1:9" ht="63" customHeight="1" x14ac:dyDescent="0.2">
      <c r="B23" s="15"/>
      <c r="C23" s="206"/>
      <c r="D23" s="147"/>
      <c r="E23" s="324"/>
      <c r="F23" s="218"/>
      <c r="G23" s="17"/>
    </row>
    <row r="24" spans="1:9" ht="63" customHeight="1" x14ac:dyDescent="0.2">
      <c r="B24" s="15"/>
      <c r="C24" s="206"/>
      <c r="D24" s="147"/>
      <c r="E24" s="324"/>
      <c r="F24" s="218"/>
      <c r="G24" s="17"/>
    </row>
    <row r="25" spans="1:9" ht="63" customHeight="1" x14ac:dyDescent="0.2">
      <c r="B25" s="15"/>
      <c r="C25" s="207"/>
      <c r="D25" s="147"/>
      <c r="E25" s="291"/>
      <c r="F25" s="237"/>
      <c r="G25" s="17"/>
    </row>
    <row r="26" spans="1:9" ht="15.75" customHeight="1" x14ac:dyDescent="0.2">
      <c r="B26" s="61"/>
      <c r="C26" s="38"/>
      <c r="D26" s="38"/>
      <c r="E26" s="38"/>
      <c r="F26" s="38"/>
      <c r="G26" s="39"/>
    </row>
    <row r="27" spans="1:9" ht="8.25" customHeight="1" x14ac:dyDescent="0.2"/>
    <row r="28" spans="1:9" ht="14.25" x14ac:dyDescent="0.2">
      <c r="B28" s="221" t="s">
        <v>524</v>
      </c>
      <c r="C28" s="165"/>
      <c r="D28" s="165"/>
      <c r="E28" s="175" t="s">
        <v>525</v>
      </c>
      <c r="F28" s="165"/>
      <c r="G28" s="165"/>
    </row>
    <row r="29" spans="1:9" ht="8.25" customHeight="1" x14ac:dyDescent="0.2"/>
    <row r="30" spans="1:9" ht="14.25" x14ac:dyDescent="0.2">
      <c r="B30" s="222" t="s">
        <v>80</v>
      </c>
      <c r="C30" s="165"/>
      <c r="D30" s="165"/>
      <c r="E30" s="165"/>
      <c r="F30" s="165"/>
      <c r="G30" s="165"/>
    </row>
    <row r="31" spans="1:9" ht="14.25" x14ac:dyDescent="0.2">
      <c r="B31" s="222" t="s">
        <v>113</v>
      </c>
      <c r="C31" s="165"/>
      <c r="D31" s="165"/>
      <c r="E31" s="165"/>
      <c r="F31" s="165"/>
      <c r="G31" s="165"/>
    </row>
  </sheetData>
  <mergeCells count="21">
    <mergeCell ref="B28:D28"/>
    <mergeCell ref="E28:G28"/>
    <mergeCell ref="B30:G30"/>
    <mergeCell ref="B31:G31"/>
    <mergeCell ref="C11:G11"/>
    <mergeCell ref="C12:G12"/>
    <mergeCell ref="C13:G13"/>
    <mergeCell ref="C14:G14"/>
    <mergeCell ref="C15:G15"/>
    <mergeCell ref="C16:G16"/>
    <mergeCell ref="C17:G17"/>
    <mergeCell ref="B9:G9"/>
    <mergeCell ref="C10:G10"/>
    <mergeCell ref="B19:G19"/>
    <mergeCell ref="C22:C25"/>
    <mergeCell ref="E22:F25"/>
    <mergeCell ref="B1:E1"/>
    <mergeCell ref="B3:C3"/>
    <mergeCell ref="B6:E6"/>
    <mergeCell ref="F6:G6"/>
    <mergeCell ref="B7:G7"/>
  </mergeCells>
  <hyperlinks>
    <hyperlink ref="C4" location="C9Congrats" display="Congratulations!" xr:uid="{00000000-0004-0000-1700-000000000000}"/>
    <hyperlink ref="F6" location="C9CongratsTitle" display="Back to top ↑" xr:uid="{00000000-0004-0000-1700-000001000000}"/>
    <hyperlink ref="C10" r:id="rId1" xr:uid="{00000000-0004-0000-1700-000002000000}"/>
    <hyperlink ref="C11" r:id="rId2" xr:uid="{00000000-0004-0000-1700-000003000000}"/>
    <hyperlink ref="C12" r:id="rId3" xr:uid="{00000000-0004-0000-1700-000004000000}"/>
    <hyperlink ref="C13" r:id="rId4" xr:uid="{00000000-0004-0000-1700-000005000000}"/>
    <hyperlink ref="C14" r:id="rId5" xr:uid="{00000000-0004-0000-1700-000006000000}"/>
    <hyperlink ref="C15" r:id="rId6" xr:uid="{00000000-0004-0000-1700-000007000000}"/>
    <hyperlink ref="C16" r:id="rId7" xr:uid="{00000000-0004-0000-1700-000008000000}"/>
    <hyperlink ref="B28" location="'9 - Complex Prompts for Financi'!B1:E1" display="← Chapter 9 Exercises: Prompts for Financial Services" xr:uid="{00000000-0004-0000-1700-000009000000}"/>
    <hyperlink ref="E28" location="AppChainingTitle" display="Appendix: Chaining Prompts →" xr:uid="{00000000-0004-0000-1700-00000A000000}"/>
    <hyperlink ref="B30" location="C9CongratsTitle" display="Back to top ↑" xr:uid="{00000000-0004-0000-1700-00000B000000}"/>
    <hyperlink ref="B31" location="IntroTitle" display="Table of Contents" xr:uid="{00000000-0004-0000-1700-00000C000000}"/>
  </hyperlinks>
  <pageMargins left="0.7" right="0.7" top="0.75" bottom="0.75" header="0.3" footer="0.3"/>
  <pageSetup paperSize="9" scale="68" fitToHeight="0" orientation="portrait" r:id="rId8"/>
  <drawing r:id="rId9"/>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9900"/>
    <outlinePr summaryBelow="0" summaryRight="0"/>
    <pageSetUpPr fitToPage="1"/>
  </sheetPr>
  <dimension ref="A1:K104"/>
  <sheetViews>
    <sheetView showGridLines="0" workbookViewId="0"/>
  </sheetViews>
  <sheetFormatPr defaultColWidth="12.5703125" defaultRowHeight="15.75" customHeight="1" x14ac:dyDescent="0.2"/>
  <cols>
    <col min="1" max="1" width="5.42578125" customWidth="1"/>
    <col min="2" max="2" width="3" customWidth="1"/>
    <col min="3" max="3" width="32.7109375" customWidth="1"/>
    <col min="4" max="4" width="4" customWidth="1"/>
    <col min="5" max="5" width="39.42578125" customWidth="1"/>
    <col min="6" max="6" width="4" customWidth="1"/>
    <col min="7" max="7" width="33.5703125" customWidth="1"/>
    <col min="8" max="8" width="4" customWidth="1"/>
    <col min="9" max="9" width="41" customWidth="1"/>
    <col min="10" max="10" width="3" customWidth="1"/>
    <col min="11" max="11" width="5.42578125" customWidth="1"/>
  </cols>
  <sheetData>
    <row r="1" spans="1:11" ht="32.25" customHeight="1" x14ac:dyDescent="0.4">
      <c r="A1" s="1"/>
      <c r="B1" s="164" t="s">
        <v>526</v>
      </c>
      <c r="C1" s="165"/>
      <c r="D1" s="165"/>
      <c r="E1" s="165"/>
      <c r="F1" s="165"/>
      <c r="G1" s="165"/>
      <c r="H1" s="111"/>
      <c r="I1" s="96"/>
      <c r="J1" s="3"/>
      <c r="K1" s="3"/>
    </row>
    <row r="2" spans="1:11" ht="21.75" customHeight="1" x14ac:dyDescent="0.2">
      <c r="D2" s="25"/>
      <c r="F2" s="25"/>
      <c r="G2" s="49"/>
      <c r="H2" s="25"/>
      <c r="I2" s="41"/>
    </row>
    <row r="3" spans="1:11" ht="21.75" customHeight="1" x14ac:dyDescent="0.3">
      <c r="A3" s="16"/>
      <c r="B3" s="194" t="s">
        <v>76</v>
      </c>
      <c r="C3" s="165"/>
      <c r="D3" s="25"/>
      <c r="F3" s="25"/>
      <c r="G3" s="16"/>
      <c r="H3" s="97"/>
    </row>
    <row r="4" spans="1:11" ht="15.75" customHeight="1" x14ac:dyDescent="0.2">
      <c r="A4" s="16"/>
      <c r="C4" s="40" t="s">
        <v>53</v>
      </c>
      <c r="D4" s="25"/>
      <c r="F4" s="25"/>
      <c r="G4" s="16"/>
      <c r="H4" s="25"/>
      <c r="I4" s="20"/>
    </row>
    <row r="5" spans="1:11" ht="15.75" customHeight="1" x14ac:dyDescent="0.2">
      <c r="A5" s="16"/>
      <c r="C5" s="40" t="s">
        <v>77</v>
      </c>
      <c r="D5" s="25"/>
      <c r="F5" s="25"/>
      <c r="G5" s="16"/>
      <c r="H5" s="25"/>
      <c r="I5" s="20"/>
    </row>
    <row r="6" spans="1:11" ht="15.75" customHeight="1" x14ac:dyDescent="0.2">
      <c r="A6" s="16" t="s">
        <v>78</v>
      </c>
      <c r="C6" s="40" t="s">
        <v>79</v>
      </c>
      <c r="D6" s="25"/>
      <c r="F6" s="25"/>
      <c r="G6" s="16" t="s">
        <v>78</v>
      </c>
      <c r="H6" s="25"/>
      <c r="I6" s="20"/>
    </row>
    <row r="7" spans="1:11" ht="33.75" customHeight="1" x14ac:dyDescent="0.2">
      <c r="D7" s="25"/>
      <c r="F7" s="25"/>
      <c r="H7" s="25"/>
    </row>
    <row r="8" spans="1:11" ht="29.25" customHeight="1" x14ac:dyDescent="0.2">
      <c r="A8" s="41"/>
      <c r="B8" s="195" t="s">
        <v>53</v>
      </c>
      <c r="C8" s="196"/>
      <c r="D8" s="196"/>
      <c r="E8" s="196"/>
      <c r="F8" s="98"/>
      <c r="G8" s="112"/>
      <c r="H8" s="98"/>
      <c r="I8" s="197" t="s">
        <v>80</v>
      </c>
      <c r="J8" s="198"/>
      <c r="K8" s="41"/>
    </row>
    <row r="9" spans="1:11" ht="12.75" x14ac:dyDescent="0.2">
      <c r="B9" s="334" t="s">
        <v>527</v>
      </c>
      <c r="C9" s="188"/>
      <c r="D9" s="188"/>
      <c r="E9" s="188"/>
      <c r="F9" s="188"/>
      <c r="G9" s="188"/>
      <c r="H9" s="188"/>
      <c r="I9" s="188"/>
      <c r="J9" s="189"/>
    </row>
    <row r="10" spans="1:11" ht="33.75" customHeight="1" x14ac:dyDescent="0.2">
      <c r="D10" s="25"/>
      <c r="F10" s="25"/>
      <c r="G10" s="49"/>
      <c r="H10" s="25"/>
      <c r="I10" s="41"/>
    </row>
    <row r="11" spans="1:11" ht="29.25" customHeight="1" x14ac:dyDescent="0.2">
      <c r="B11" s="195" t="s">
        <v>77</v>
      </c>
      <c r="C11" s="196"/>
      <c r="D11" s="196"/>
      <c r="E11" s="196"/>
      <c r="F11" s="98"/>
      <c r="G11" s="99"/>
      <c r="H11" s="98"/>
      <c r="I11" s="197" t="s">
        <v>80</v>
      </c>
      <c r="J11" s="198"/>
    </row>
    <row r="12" spans="1:11" ht="12.75" x14ac:dyDescent="0.2">
      <c r="B12" s="200" t="s">
        <v>528</v>
      </c>
      <c r="C12" s="165"/>
      <c r="D12" s="165"/>
      <c r="E12" s="165"/>
      <c r="F12" s="165"/>
      <c r="G12" s="165"/>
      <c r="H12" s="165"/>
      <c r="I12" s="165"/>
      <c r="J12" s="170"/>
    </row>
    <row r="13" spans="1:11" ht="8.25" customHeight="1" x14ac:dyDescent="0.2">
      <c r="B13" s="15"/>
      <c r="D13" s="25"/>
      <c r="F13" s="25"/>
      <c r="G13" s="49"/>
      <c r="H13" s="25"/>
      <c r="I13" s="41"/>
      <c r="J13" s="17"/>
    </row>
    <row r="14" spans="1:11" ht="15" x14ac:dyDescent="0.25">
      <c r="A14" s="20"/>
      <c r="B14" s="19"/>
      <c r="C14" s="100" t="s">
        <v>90</v>
      </c>
      <c r="D14" s="101"/>
      <c r="E14" s="100"/>
      <c r="F14" s="101"/>
      <c r="G14" s="102" t="s">
        <v>529</v>
      </c>
      <c r="H14" s="101"/>
      <c r="I14" s="103"/>
      <c r="J14" s="21"/>
      <c r="K14" s="20"/>
    </row>
    <row r="15" spans="1:11" ht="74.25" customHeight="1" x14ac:dyDescent="0.2">
      <c r="B15" s="15"/>
      <c r="C15" s="288" t="s">
        <v>530</v>
      </c>
      <c r="D15" s="289"/>
      <c r="E15" s="290"/>
      <c r="F15" s="208" t="s">
        <v>93</v>
      </c>
      <c r="G15" s="330" t="e">
        <f ca="1">claudeMessages(C15, 'Tutorial How-To'!$E$37,"temperature",0)</f>
        <v>#NAME?</v>
      </c>
      <c r="H15" s="289"/>
      <c r="I15" s="290"/>
      <c r="J15" s="17"/>
    </row>
    <row r="16" spans="1:11" ht="74.25" customHeight="1" x14ac:dyDescent="0.2">
      <c r="B16" s="15"/>
      <c r="C16" s="324"/>
      <c r="D16" s="165"/>
      <c r="E16" s="218"/>
      <c r="F16" s="165"/>
      <c r="G16" s="324"/>
      <c r="H16" s="165"/>
      <c r="I16" s="218"/>
      <c r="J16" s="17"/>
    </row>
    <row r="17" spans="1:11" ht="74.25" customHeight="1" x14ac:dyDescent="0.2">
      <c r="B17" s="15"/>
      <c r="C17" s="291"/>
      <c r="D17" s="292"/>
      <c r="E17" s="237"/>
      <c r="F17" s="165"/>
      <c r="G17" s="291"/>
      <c r="H17" s="292"/>
      <c r="I17" s="237"/>
      <c r="J17" s="17"/>
    </row>
    <row r="18" spans="1:11" ht="15.75" customHeight="1" x14ac:dyDescent="0.2">
      <c r="B18" s="15"/>
      <c r="C18" s="108"/>
      <c r="D18" s="47"/>
      <c r="E18" s="109"/>
      <c r="F18" s="25"/>
      <c r="G18" s="109"/>
      <c r="H18" s="25"/>
      <c r="I18" s="109"/>
      <c r="J18" s="17"/>
    </row>
    <row r="19" spans="1:11" ht="12.75" x14ac:dyDescent="0.2">
      <c r="B19" s="200" t="s">
        <v>531</v>
      </c>
      <c r="C19" s="165"/>
      <c r="D19" s="165"/>
      <c r="E19" s="165"/>
      <c r="F19" s="165"/>
      <c r="G19" s="165"/>
      <c r="H19" s="165"/>
      <c r="I19" s="165"/>
      <c r="J19" s="170"/>
    </row>
    <row r="20" spans="1:11" ht="8.25" customHeight="1" x14ac:dyDescent="0.2">
      <c r="B20" s="15"/>
      <c r="D20" s="25"/>
      <c r="F20" s="25"/>
      <c r="G20" s="49"/>
      <c r="H20" s="25"/>
      <c r="I20" s="41"/>
      <c r="J20" s="17"/>
    </row>
    <row r="21" spans="1:11" ht="45" x14ac:dyDescent="0.25">
      <c r="A21" s="20"/>
      <c r="B21" s="19"/>
      <c r="C21" s="100" t="s">
        <v>184</v>
      </c>
      <c r="D21" s="101"/>
      <c r="E21" s="102" t="s">
        <v>532</v>
      </c>
      <c r="F21" s="101"/>
      <c r="G21" s="102" t="s">
        <v>186</v>
      </c>
      <c r="H21" s="101"/>
      <c r="I21" s="100" t="s">
        <v>533</v>
      </c>
      <c r="J21" s="21"/>
      <c r="K21" s="20"/>
    </row>
    <row r="22" spans="1:11" ht="66.75" customHeight="1" x14ac:dyDescent="0.2">
      <c r="A22" s="55"/>
      <c r="B22" s="89"/>
      <c r="C22" s="336" t="s">
        <v>534</v>
      </c>
      <c r="D22" s="255" t="s">
        <v>188</v>
      </c>
      <c r="E22" s="337" t="e">
        <f ca="1">CONCATENATE(C15,CHAR(10),"Assistant: ",G15)</f>
        <v>#NAME?</v>
      </c>
      <c r="F22" s="257" t="s">
        <v>190</v>
      </c>
      <c r="G22" s="283" t="e">
        <f ca="1">SUBSTITUTE(C22,"{{CONVO_HISTORY}}",E22)</f>
        <v>#NAME?</v>
      </c>
      <c r="H22" s="259" t="s">
        <v>93</v>
      </c>
      <c r="I22" s="335" t="e">
        <f ca="1">claudeMessages(G22, 'Tutorial How-To'!$E$37,"temperature",0)</f>
        <v>#NAME?</v>
      </c>
      <c r="J22" s="55"/>
      <c r="K22" s="56"/>
    </row>
    <row r="23" spans="1:11" ht="66.75" customHeight="1" x14ac:dyDescent="0.2">
      <c r="A23" s="55"/>
      <c r="B23" s="89"/>
      <c r="C23" s="273"/>
      <c r="D23" s="218"/>
      <c r="E23" s="218"/>
      <c r="F23" s="218"/>
      <c r="G23" s="218"/>
      <c r="H23" s="218"/>
      <c r="I23" s="218"/>
      <c r="J23" s="55"/>
      <c r="K23" s="56"/>
    </row>
    <row r="24" spans="1:11" ht="66.75" customHeight="1" x14ac:dyDescent="0.2">
      <c r="A24" s="55"/>
      <c r="B24" s="89"/>
      <c r="C24" s="273"/>
      <c r="D24" s="218"/>
      <c r="E24" s="218"/>
      <c r="F24" s="218"/>
      <c r="G24" s="218"/>
      <c r="H24" s="218"/>
      <c r="I24" s="218"/>
      <c r="J24" s="55"/>
      <c r="K24" s="56"/>
    </row>
    <row r="25" spans="1:11" ht="34.5" customHeight="1" x14ac:dyDescent="0.2">
      <c r="A25" s="55"/>
      <c r="B25" s="89"/>
      <c r="C25" s="276"/>
      <c r="D25" s="218"/>
      <c r="E25" s="237"/>
      <c r="F25" s="218"/>
      <c r="G25" s="237"/>
      <c r="H25" s="218"/>
      <c r="I25" s="237"/>
      <c r="J25" s="55"/>
      <c r="K25" s="56"/>
    </row>
    <row r="26" spans="1:11" ht="15.75" customHeight="1" x14ac:dyDescent="0.2">
      <c r="B26" s="15"/>
      <c r="C26" s="108"/>
      <c r="D26" s="47"/>
      <c r="E26" s="109"/>
      <c r="F26" s="25"/>
      <c r="G26" s="109"/>
      <c r="H26" s="25"/>
      <c r="I26" s="109"/>
      <c r="J26" s="17"/>
    </row>
    <row r="27" spans="1:11" ht="12.75" x14ac:dyDescent="0.2">
      <c r="B27" s="200" t="s">
        <v>535</v>
      </c>
      <c r="C27" s="165"/>
      <c r="D27" s="165"/>
      <c r="E27" s="165"/>
      <c r="F27" s="165"/>
      <c r="G27" s="165"/>
      <c r="H27" s="165"/>
      <c r="I27" s="165"/>
      <c r="J27" s="170"/>
    </row>
    <row r="28" spans="1:11" ht="8.25" customHeight="1" x14ac:dyDescent="0.2">
      <c r="B28" s="15"/>
      <c r="D28" s="25"/>
      <c r="F28" s="25"/>
      <c r="G28" s="49"/>
      <c r="H28" s="25"/>
      <c r="I28" s="41"/>
      <c r="J28" s="17"/>
    </row>
    <row r="29" spans="1:11" ht="30" x14ac:dyDescent="0.25">
      <c r="A29" s="9"/>
      <c r="B29" s="8"/>
      <c r="C29" s="102" t="s">
        <v>184</v>
      </c>
      <c r="D29" s="113"/>
      <c r="E29" s="102" t="s">
        <v>536</v>
      </c>
      <c r="F29" s="113"/>
      <c r="G29" s="102" t="s">
        <v>186</v>
      </c>
      <c r="H29" s="113"/>
      <c r="I29" s="102" t="s">
        <v>533</v>
      </c>
      <c r="J29" s="11"/>
      <c r="K29" s="9"/>
    </row>
    <row r="30" spans="1:11" ht="54" customHeight="1" x14ac:dyDescent="0.2">
      <c r="A30" s="55"/>
      <c r="B30" s="89"/>
      <c r="C30" s="336" t="s">
        <v>534</v>
      </c>
      <c r="D30" s="255" t="s">
        <v>188</v>
      </c>
      <c r="E30" s="337" t="str">
        <f>CONCATENATE(C15,CHAR(10),"Assistant: ","1. Cab
2. Dab
3. Grab
4. Gab
5. Jab
6. Lab
7. Nab
8. Slab
9. Tab
10. Blab")</f>
        <v>User: Name ten words that all end with the exact letters "ab".
Assistant: 1. Cab
2. Dab
3. Grab
4. Gab
5. Jab
6. Lab
7. Nab
8. Slab
9. Tab
10. Blab</v>
      </c>
      <c r="F30" s="257" t="s">
        <v>190</v>
      </c>
      <c r="G30" s="283" t="str">
        <f>SUBSTITUTE(C30,"{{CONVO_HISTORY}}",E30)</f>
        <v>User: Name ten words that all end with the exact letters "ab".
Assistant: 1. Cab
2. Dab
3. Grab
4. Gab
5. Jab
6. Lab
7. Nab
8. Slab
9. Tab
10. Blab
User: Please find replacements for all "words" that are not real words.</v>
      </c>
      <c r="H30" s="259" t="s">
        <v>93</v>
      </c>
      <c r="I30" s="335" t="e">
        <f ca="1">claudeMessages(G30, 'Tutorial How-To'!$E$37,"temperature",0)</f>
        <v>#NAME?</v>
      </c>
      <c r="J30" s="55"/>
      <c r="K30" s="56"/>
    </row>
    <row r="31" spans="1:11" ht="54" customHeight="1" x14ac:dyDescent="0.2">
      <c r="A31" s="55"/>
      <c r="B31" s="89"/>
      <c r="C31" s="273"/>
      <c r="D31" s="218"/>
      <c r="E31" s="218"/>
      <c r="F31" s="218"/>
      <c r="G31" s="218"/>
      <c r="H31" s="218"/>
      <c r="I31" s="218"/>
      <c r="J31" s="55"/>
      <c r="K31" s="56"/>
    </row>
    <row r="32" spans="1:11" ht="54" customHeight="1" x14ac:dyDescent="0.2">
      <c r="A32" s="55"/>
      <c r="B32" s="89"/>
      <c r="C32" s="273"/>
      <c r="D32" s="218"/>
      <c r="E32" s="218"/>
      <c r="F32" s="218"/>
      <c r="G32" s="218"/>
      <c r="H32" s="218"/>
      <c r="I32" s="218"/>
      <c r="J32" s="55"/>
      <c r="K32" s="56"/>
    </row>
    <row r="33" spans="1:11" ht="54" customHeight="1" x14ac:dyDescent="0.2">
      <c r="A33" s="55"/>
      <c r="B33" s="89"/>
      <c r="C33" s="276"/>
      <c r="D33" s="218"/>
      <c r="E33" s="237"/>
      <c r="F33" s="218"/>
      <c r="G33" s="237"/>
      <c r="H33" s="218"/>
      <c r="I33" s="237"/>
      <c r="J33" s="55"/>
      <c r="K33" s="56"/>
    </row>
    <row r="34" spans="1:11" ht="15.75" customHeight="1" x14ac:dyDescent="0.2">
      <c r="B34" s="15"/>
      <c r="D34" s="25"/>
      <c r="F34" s="25"/>
      <c r="G34" s="49"/>
      <c r="H34" s="25"/>
      <c r="I34" s="41"/>
      <c r="J34" s="17"/>
    </row>
    <row r="35" spans="1:11" ht="12.75" x14ac:dyDescent="0.2">
      <c r="B35" s="200" t="s">
        <v>537</v>
      </c>
      <c r="C35" s="165"/>
      <c r="D35" s="165"/>
      <c r="E35" s="165"/>
      <c r="F35" s="165"/>
      <c r="G35" s="165"/>
      <c r="H35" s="165"/>
      <c r="I35" s="165"/>
      <c r="J35" s="170"/>
    </row>
    <row r="36" spans="1:11" ht="11.25" customHeight="1" x14ac:dyDescent="0.2">
      <c r="B36" s="15"/>
      <c r="D36" s="25"/>
      <c r="F36" s="25"/>
      <c r="G36" s="49"/>
      <c r="H36" s="25"/>
      <c r="I36" s="41"/>
      <c r="J36" s="17"/>
    </row>
    <row r="37" spans="1:11" ht="12.75" x14ac:dyDescent="0.2">
      <c r="B37" s="200" t="s">
        <v>538</v>
      </c>
      <c r="C37" s="165"/>
      <c r="D37" s="165"/>
      <c r="E37" s="165"/>
      <c r="F37" s="165"/>
      <c r="G37" s="165"/>
      <c r="H37" s="165"/>
      <c r="I37" s="165"/>
      <c r="J37" s="170"/>
    </row>
    <row r="38" spans="1:11" ht="8.25" customHeight="1" x14ac:dyDescent="0.2">
      <c r="B38" s="15"/>
      <c r="D38" s="25"/>
      <c r="F38" s="25"/>
      <c r="G38" s="49"/>
      <c r="H38" s="25"/>
      <c r="I38" s="41"/>
      <c r="J38" s="17"/>
    </row>
    <row r="39" spans="1:11" ht="15" x14ac:dyDescent="0.25">
      <c r="A39" s="55"/>
      <c r="B39" s="56"/>
      <c r="C39" s="86" t="s">
        <v>90</v>
      </c>
      <c r="D39" s="77"/>
      <c r="E39" s="77"/>
      <c r="F39" s="56"/>
      <c r="G39" s="331" t="s">
        <v>539</v>
      </c>
      <c r="H39" s="292"/>
      <c r="I39" s="292"/>
      <c r="J39" s="55"/>
      <c r="K39" s="56"/>
    </row>
    <row r="40" spans="1:11" ht="49.5" customHeight="1" x14ac:dyDescent="0.2">
      <c r="A40" s="55"/>
      <c r="B40" s="58"/>
      <c r="C40" s="313" t="s">
        <v>540</v>
      </c>
      <c r="D40" s="165"/>
      <c r="E40" s="218"/>
      <c r="F40" s="259" t="s">
        <v>93</v>
      </c>
      <c r="G40" s="333" t="e">
        <f ca="1">claudeMessages(C40, 'Tutorial How-To'!$E$37,"temperature",0)</f>
        <v>#NAME?</v>
      </c>
      <c r="H40" s="165"/>
      <c r="I40" s="218"/>
      <c r="J40" s="55"/>
      <c r="K40" s="56"/>
    </row>
    <row r="41" spans="1:11" ht="49.5" customHeight="1" x14ac:dyDescent="0.2">
      <c r="A41" s="55"/>
      <c r="B41" s="58"/>
      <c r="C41" s="292"/>
      <c r="D41" s="292"/>
      <c r="E41" s="237"/>
      <c r="F41" s="218"/>
      <c r="G41" s="292"/>
      <c r="H41" s="292"/>
      <c r="I41" s="237"/>
      <c r="J41" s="55"/>
      <c r="K41" s="56"/>
    </row>
    <row r="42" spans="1:11" ht="8.25" customHeight="1" x14ac:dyDescent="0.2">
      <c r="A42" s="55"/>
      <c r="B42" s="56"/>
      <c r="C42" s="56"/>
      <c r="D42" s="56"/>
      <c r="E42" s="56"/>
      <c r="F42" s="56"/>
      <c r="G42" s="56"/>
      <c r="H42" s="56"/>
      <c r="I42" s="73"/>
      <c r="J42" s="55"/>
      <c r="K42" s="56"/>
    </row>
    <row r="43" spans="1:11" ht="15" x14ac:dyDescent="0.25">
      <c r="A43" s="55"/>
      <c r="B43" s="56"/>
      <c r="C43" s="85" t="s">
        <v>184</v>
      </c>
      <c r="D43" s="56"/>
      <c r="E43" s="86" t="s">
        <v>541</v>
      </c>
      <c r="F43" s="56"/>
      <c r="G43" s="87" t="s">
        <v>186</v>
      </c>
      <c r="H43" s="56"/>
      <c r="I43" s="88" t="s">
        <v>542</v>
      </c>
      <c r="J43" s="55"/>
      <c r="K43" s="56"/>
    </row>
    <row r="44" spans="1:11" ht="66.75" customHeight="1" x14ac:dyDescent="0.2">
      <c r="A44" s="55"/>
      <c r="B44" s="89"/>
      <c r="C44" s="327" t="s">
        <v>543</v>
      </c>
      <c r="D44" s="255" t="s">
        <v>188</v>
      </c>
      <c r="E44" s="328" t="e">
        <f ca="1">CONCATENATE(C40,CHAR(10),"Assistant: ",G40)</f>
        <v>#NAME?</v>
      </c>
      <c r="F44" s="257" t="s">
        <v>190</v>
      </c>
      <c r="G44" s="240" t="e">
        <f ca="1">SUBSTITUTE(C44,"{{PAST_STORY}}",E44)</f>
        <v>#NAME?</v>
      </c>
      <c r="H44" s="259" t="s">
        <v>93</v>
      </c>
      <c r="I44" s="312" t="e">
        <f ca="1">claudeMessages(G44, 'Tutorial How-To'!$E$37,"temperature",0)</f>
        <v>#NAME?</v>
      </c>
      <c r="J44" s="55"/>
      <c r="K44" s="56"/>
    </row>
    <row r="45" spans="1:11" ht="66.75" customHeight="1" x14ac:dyDescent="0.2">
      <c r="A45" s="55"/>
      <c r="B45" s="89"/>
      <c r="C45" s="273"/>
      <c r="D45" s="218"/>
      <c r="E45" s="218"/>
      <c r="F45" s="218"/>
      <c r="G45" s="218"/>
      <c r="H45" s="218"/>
      <c r="I45" s="218"/>
      <c r="J45" s="55"/>
      <c r="K45" s="56"/>
    </row>
    <row r="46" spans="1:11" ht="66.75" customHeight="1" x14ac:dyDescent="0.2">
      <c r="A46" s="55"/>
      <c r="B46" s="89"/>
      <c r="C46" s="273"/>
      <c r="D46" s="218"/>
      <c r="E46" s="218"/>
      <c r="F46" s="218"/>
      <c r="G46" s="218"/>
      <c r="H46" s="218"/>
      <c r="I46" s="218"/>
      <c r="J46" s="55"/>
      <c r="K46" s="56"/>
    </row>
    <row r="47" spans="1:11" ht="66.75" customHeight="1" x14ac:dyDescent="0.2">
      <c r="A47" s="55"/>
      <c r="B47" s="89"/>
      <c r="C47" s="276"/>
      <c r="D47" s="218"/>
      <c r="E47" s="237"/>
      <c r="F47" s="218"/>
      <c r="G47" s="237"/>
      <c r="H47" s="218"/>
      <c r="I47" s="237"/>
      <c r="J47" s="55"/>
      <c r="K47" s="56"/>
    </row>
    <row r="48" spans="1:11" ht="15.75" customHeight="1" x14ac:dyDescent="0.2">
      <c r="B48" s="15"/>
      <c r="D48" s="25"/>
      <c r="F48" s="25"/>
      <c r="G48" s="49"/>
      <c r="H48" s="25"/>
      <c r="I48" s="41"/>
      <c r="J48" s="17"/>
    </row>
    <row r="49" spans="1:11" ht="12.75" x14ac:dyDescent="0.2">
      <c r="B49" s="200" t="s">
        <v>544</v>
      </c>
      <c r="C49" s="165"/>
      <c r="D49" s="165"/>
      <c r="E49" s="165"/>
      <c r="F49" s="165"/>
      <c r="G49" s="165"/>
      <c r="H49" s="165"/>
      <c r="I49" s="165"/>
      <c r="J49" s="170"/>
    </row>
    <row r="50" spans="1:11" ht="8.25" customHeight="1" x14ac:dyDescent="0.2">
      <c r="B50" s="15"/>
      <c r="D50" s="25"/>
      <c r="F50" s="25"/>
      <c r="G50" s="49"/>
      <c r="H50" s="25"/>
      <c r="I50" s="41"/>
      <c r="J50" s="17"/>
    </row>
    <row r="51" spans="1:11" ht="45" x14ac:dyDescent="0.25">
      <c r="A51" s="55"/>
      <c r="B51" s="56"/>
      <c r="C51" s="86" t="s">
        <v>545</v>
      </c>
      <c r="D51" s="56"/>
      <c r="E51" s="86" t="s">
        <v>546</v>
      </c>
      <c r="F51" s="56"/>
      <c r="G51" s="153" t="s">
        <v>547</v>
      </c>
      <c r="H51" s="56"/>
      <c r="I51" s="73"/>
      <c r="J51" s="55"/>
      <c r="K51" s="56"/>
    </row>
    <row r="52" spans="1:11" ht="94.5" customHeight="1" x14ac:dyDescent="0.2">
      <c r="A52" s="55"/>
      <c r="B52" s="58"/>
      <c r="C52" s="240" t="s">
        <v>548</v>
      </c>
      <c r="D52" s="259" t="s">
        <v>93</v>
      </c>
      <c r="E52" s="245" t="e">
        <f ca="1">claudeMessages(C52, 'Tutorial How-To'!$E$37,"temperature",0)</f>
        <v>#NAME?</v>
      </c>
      <c r="F52" s="154" t="s">
        <v>188</v>
      </c>
      <c r="G52" s="155" t="s">
        <v>549</v>
      </c>
      <c r="H52" s="56"/>
      <c r="I52" s="73"/>
      <c r="J52" s="55"/>
      <c r="K52" s="56"/>
    </row>
    <row r="53" spans="1:11" ht="15.75" customHeight="1" x14ac:dyDescent="0.25">
      <c r="A53" s="55"/>
      <c r="B53" s="58"/>
      <c r="C53" s="218"/>
      <c r="D53" s="218"/>
      <c r="E53" s="206"/>
      <c r="F53" s="56"/>
      <c r="G53" s="156" t="s">
        <v>190</v>
      </c>
      <c r="H53" s="56"/>
      <c r="I53" s="73"/>
      <c r="J53" s="55"/>
      <c r="K53" s="56"/>
    </row>
    <row r="54" spans="1:11" ht="15.75" customHeight="1" x14ac:dyDescent="0.25">
      <c r="A54" s="55"/>
      <c r="B54" s="58"/>
      <c r="C54" s="218"/>
      <c r="D54" s="218"/>
      <c r="E54" s="206"/>
      <c r="F54" s="56"/>
      <c r="G54" s="87" t="s">
        <v>550</v>
      </c>
      <c r="H54" s="56"/>
      <c r="I54" s="88" t="s">
        <v>551</v>
      </c>
      <c r="J54" s="55"/>
      <c r="K54" s="56"/>
    </row>
    <row r="55" spans="1:11" ht="83.25" customHeight="1" x14ac:dyDescent="0.2">
      <c r="A55" s="55"/>
      <c r="B55" s="58"/>
      <c r="C55" s="218"/>
      <c r="D55" s="218"/>
      <c r="E55" s="206"/>
      <c r="F55" s="58"/>
      <c r="G55" s="302" t="e">
        <f ca="1">SUBSTITUTE(G52,"{{NAMES}}",E52)</f>
        <v>#NAME?</v>
      </c>
      <c r="H55" s="75" t="s">
        <v>93</v>
      </c>
      <c r="I55" s="245" t="e">
        <f ca="1">claudeMessages(G55, 'Tutorial How-To'!$E$37,"temperature",0)</f>
        <v>#NAME?</v>
      </c>
      <c r="J55" s="55"/>
      <c r="K55" s="56"/>
    </row>
    <row r="56" spans="1:11" ht="83.25" customHeight="1" x14ac:dyDescent="0.2">
      <c r="A56" s="55"/>
      <c r="B56" s="58"/>
      <c r="C56" s="237"/>
      <c r="D56" s="218"/>
      <c r="E56" s="207"/>
      <c r="F56" s="58"/>
      <c r="G56" s="207"/>
      <c r="H56" s="58"/>
      <c r="I56" s="206"/>
      <c r="J56" s="55"/>
      <c r="K56" s="56"/>
    </row>
    <row r="57" spans="1:11" ht="15.75" customHeight="1" x14ac:dyDescent="0.2">
      <c r="B57" s="61"/>
      <c r="C57" s="38"/>
      <c r="D57" s="38"/>
      <c r="E57" s="38"/>
      <c r="F57" s="38"/>
      <c r="G57" s="38"/>
      <c r="H57" s="157"/>
      <c r="I57" s="158"/>
      <c r="J57" s="159"/>
    </row>
    <row r="58" spans="1:11" ht="33.75" customHeight="1" x14ac:dyDescent="0.2">
      <c r="H58" s="25"/>
      <c r="I58" s="41"/>
    </row>
    <row r="59" spans="1:11" ht="29.25" customHeight="1" x14ac:dyDescent="0.2">
      <c r="B59" s="195" t="s">
        <v>79</v>
      </c>
      <c r="C59" s="196"/>
      <c r="D59" s="196"/>
      <c r="E59" s="196"/>
      <c r="F59" s="98"/>
      <c r="G59" s="99"/>
      <c r="H59" s="98"/>
      <c r="I59" s="197" t="s">
        <v>80</v>
      </c>
      <c r="J59" s="198"/>
    </row>
    <row r="60" spans="1:11" ht="12.75" x14ac:dyDescent="0.2">
      <c r="B60" s="200" t="s">
        <v>552</v>
      </c>
      <c r="C60" s="165"/>
      <c r="D60" s="165"/>
      <c r="E60" s="165"/>
      <c r="F60" s="165"/>
      <c r="G60" s="165"/>
      <c r="H60" s="165"/>
      <c r="I60" s="165"/>
      <c r="J60" s="170"/>
    </row>
    <row r="61" spans="1:11" ht="8.25" customHeight="1" x14ac:dyDescent="0.2">
      <c r="B61" s="15"/>
      <c r="D61" s="25"/>
      <c r="F61" s="25"/>
      <c r="G61" s="49"/>
      <c r="H61" s="25"/>
      <c r="I61" s="41"/>
      <c r="J61" s="17"/>
    </row>
    <row r="62" spans="1:11" ht="15" x14ac:dyDescent="0.25">
      <c r="A62" s="20"/>
      <c r="B62" s="19"/>
      <c r="C62" s="100" t="s">
        <v>90</v>
      </c>
      <c r="D62" s="101"/>
      <c r="E62" s="100"/>
      <c r="F62" s="101"/>
      <c r="G62" s="102" t="s">
        <v>529</v>
      </c>
      <c r="H62" s="101"/>
      <c r="I62" s="103"/>
      <c r="J62" s="21"/>
      <c r="K62" s="20"/>
    </row>
    <row r="63" spans="1:11" ht="74.25" customHeight="1" x14ac:dyDescent="0.2">
      <c r="B63" s="15"/>
      <c r="C63" s="288" t="s">
        <v>530</v>
      </c>
      <c r="D63" s="289"/>
      <c r="E63" s="290"/>
      <c r="F63" s="208" t="s">
        <v>93</v>
      </c>
      <c r="G63" s="330" t="e">
        <f ca="1">claudeMessages(C63, 'Tutorial How-To'!$E$37,"temperature",0)</f>
        <v>#NAME?</v>
      </c>
      <c r="H63" s="289"/>
      <c r="I63" s="290"/>
      <c r="J63" s="17"/>
    </row>
    <row r="64" spans="1:11" ht="74.25" customHeight="1" x14ac:dyDescent="0.2">
      <c r="B64" s="15"/>
      <c r="C64" s="324"/>
      <c r="D64" s="165"/>
      <c r="E64" s="218"/>
      <c r="F64" s="165"/>
      <c r="G64" s="324"/>
      <c r="H64" s="165"/>
      <c r="I64" s="218"/>
      <c r="J64" s="17"/>
    </row>
    <row r="65" spans="1:11" ht="74.25" customHeight="1" x14ac:dyDescent="0.2">
      <c r="B65" s="15"/>
      <c r="C65" s="291"/>
      <c r="D65" s="292"/>
      <c r="E65" s="237"/>
      <c r="F65" s="165"/>
      <c r="G65" s="291"/>
      <c r="H65" s="292"/>
      <c r="I65" s="237"/>
      <c r="J65" s="17"/>
    </row>
    <row r="66" spans="1:11" ht="8.25" customHeight="1" x14ac:dyDescent="0.2">
      <c r="B66" s="15"/>
      <c r="D66" s="25"/>
      <c r="F66" s="25"/>
      <c r="G66" s="49"/>
      <c r="H66" s="25"/>
      <c r="I66" s="41"/>
      <c r="J66" s="17"/>
    </row>
    <row r="67" spans="1:11" ht="45" x14ac:dyDescent="0.25">
      <c r="A67" s="55"/>
      <c r="B67" s="56"/>
      <c r="C67" s="85" t="s">
        <v>184</v>
      </c>
      <c r="D67" s="56"/>
      <c r="E67" s="87" t="s">
        <v>532</v>
      </c>
      <c r="F67" s="56"/>
      <c r="G67" s="87" t="s">
        <v>186</v>
      </c>
      <c r="H67" s="56"/>
      <c r="I67" s="86" t="s">
        <v>533</v>
      </c>
      <c r="J67" s="55"/>
      <c r="K67" s="56"/>
    </row>
    <row r="68" spans="1:11" ht="66.75" customHeight="1" x14ac:dyDescent="0.2">
      <c r="A68" s="55"/>
      <c r="B68" s="89"/>
      <c r="C68" s="327" t="s">
        <v>534</v>
      </c>
      <c r="D68" s="320" t="s">
        <v>188</v>
      </c>
      <c r="E68" s="328" t="e">
        <f ca="1">CONCATENATE(C63,CHAR(10),"Assistant: ",G63)</f>
        <v>#NAME?</v>
      </c>
      <c r="F68" s="332" t="s">
        <v>190</v>
      </c>
      <c r="G68" s="240" t="e">
        <f ca="1">SUBSTITUTE(C68,"{{CONVO_HISTORY}}",E68)</f>
        <v>#NAME?</v>
      </c>
      <c r="H68" s="329" t="s">
        <v>93</v>
      </c>
      <c r="I68" s="312" t="e">
        <f ca="1">claudeMessages(G68,'Tutorial How-To'!$E$37,"temperature",0)</f>
        <v>#NAME?</v>
      </c>
      <c r="J68" s="55"/>
      <c r="K68" s="56"/>
    </row>
    <row r="69" spans="1:11" ht="66.75" customHeight="1" x14ac:dyDescent="0.2">
      <c r="A69" s="55"/>
      <c r="B69" s="89"/>
      <c r="C69" s="273"/>
      <c r="D69" s="218"/>
      <c r="E69" s="218"/>
      <c r="F69" s="218"/>
      <c r="G69" s="218"/>
      <c r="H69" s="218"/>
      <c r="I69" s="218"/>
      <c r="J69" s="55"/>
      <c r="K69" s="56"/>
    </row>
    <row r="70" spans="1:11" ht="66.75" customHeight="1" x14ac:dyDescent="0.2">
      <c r="A70" s="55"/>
      <c r="B70" s="89"/>
      <c r="C70" s="273"/>
      <c r="D70" s="218"/>
      <c r="E70" s="218"/>
      <c r="F70" s="218"/>
      <c r="G70" s="218"/>
      <c r="H70" s="218"/>
      <c r="I70" s="218"/>
      <c r="J70" s="55"/>
      <c r="K70" s="56"/>
    </row>
    <row r="71" spans="1:11" ht="34.5" customHeight="1" x14ac:dyDescent="0.2">
      <c r="A71" s="55"/>
      <c r="B71" s="89"/>
      <c r="C71" s="276"/>
      <c r="D71" s="218"/>
      <c r="E71" s="237"/>
      <c r="F71" s="218"/>
      <c r="G71" s="237"/>
      <c r="H71" s="218"/>
      <c r="I71" s="237"/>
      <c r="J71" s="55"/>
      <c r="K71" s="56"/>
    </row>
    <row r="72" spans="1:11" ht="8.25" customHeight="1" x14ac:dyDescent="0.2">
      <c r="A72" s="55"/>
      <c r="B72" s="56"/>
      <c r="C72" s="56"/>
      <c r="D72" s="56"/>
      <c r="E72" s="56"/>
      <c r="F72" s="56"/>
      <c r="G72" s="56"/>
      <c r="H72" s="56"/>
      <c r="I72" s="73"/>
      <c r="J72" s="55"/>
      <c r="K72" s="56"/>
    </row>
    <row r="73" spans="1:11" ht="15.75" customHeight="1" x14ac:dyDescent="0.25">
      <c r="A73" s="55"/>
      <c r="B73" s="56"/>
      <c r="C73" s="160" t="s">
        <v>184</v>
      </c>
      <c r="D73" s="56"/>
      <c r="E73" s="87" t="s">
        <v>536</v>
      </c>
      <c r="F73" s="56"/>
      <c r="G73" s="87" t="s">
        <v>186</v>
      </c>
      <c r="H73" s="56"/>
      <c r="I73" s="87" t="s">
        <v>533</v>
      </c>
      <c r="J73" s="55"/>
      <c r="K73" s="56"/>
    </row>
    <row r="74" spans="1:11" ht="54" customHeight="1" x14ac:dyDescent="0.2">
      <c r="A74" s="55"/>
      <c r="B74" s="89"/>
      <c r="C74" s="327" t="s">
        <v>534</v>
      </c>
      <c r="D74" s="320" t="s">
        <v>188</v>
      </c>
      <c r="E74" s="328" t="str">
        <f>CONCATENATE(C63,CHAR(10),"Assistant: ","1. Cab
2. Dab
3. Grab
4. Gab
5. Jab
6. Lab
7. Nab
8. Slab
9. Tab
10. Blab")</f>
        <v>User: Name ten words that all end with the exact letters "ab".
Assistant: 1. Cab
2. Dab
3. Grab
4. Gab
5. Jab
6. Lab
7. Nab
8. Slab
9. Tab
10. Blab</v>
      </c>
      <c r="F74" s="332" t="s">
        <v>190</v>
      </c>
      <c r="G74" s="240" t="str">
        <f>SUBSTITUTE(C74,"{{CONVO_HISTORY}}",E74)</f>
        <v>User: Name ten words that all end with the exact letters "ab".
Assistant: 1. Cab
2. Dab
3. Grab
4. Gab
5. Jab
6. Lab
7. Nab
8. Slab
9. Tab
10. Blab
User: Please find replacements for all "words" that are not real words.</v>
      </c>
      <c r="H74" s="329" t="s">
        <v>93</v>
      </c>
      <c r="I74" s="312" t="e">
        <f ca="1">claudeMessages(G74,'Tutorial How-To'!$E$37,"temperature",0)</f>
        <v>#NAME?</v>
      </c>
      <c r="J74" s="55"/>
      <c r="K74" s="56"/>
    </row>
    <row r="75" spans="1:11" ht="54" customHeight="1" x14ac:dyDescent="0.2">
      <c r="A75" s="55"/>
      <c r="B75" s="89"/>
      <c r="C75" s="273"/>
      <c r="D75" s="218"/>
      <c r="E75" s="218"/>
      <c r="F75" s="218"/>
      <c r="G75" s="218"/>
      <c r="H75" s="218"/>
      <c r="I75" s="218"/>
      <c r="J75" s="55"/>
      <c r="K75" s="56"/>
    </row>
    <row r="76" spans="1:11" ht="54" customHeight="1" x14ac:dyDescent="0.2">
      <c r="A76" s="55"/>
      <c r="B76" s="89"/>
      <c r="C76" s="273"/>
      <c r="D76" s="218"/>
      <c r="E76" s="218"/>
      <c r="F76" s="218"/>
      <c r="G76" s="218"/>
      <c r="H76" s="218"/>
      <c r="I76" s="218"/>
      <c r="J76" s="55"/>
      <c r="K76" s="56"/>
    </row>
    <row r="77" spans="1:11" ht="54" customHeight="1" x14ac:dyDescent="0.2">
      <c r="A77" s="55"/>
      <c r="B77" s="89"/>
      <c r="C77" s="276"/>
      <c r="D77" s="218"/>
      <c r="E77" s="237"/>
      <c r="F77" s="218"/>
      <c r="G77" s="237"/>
      <c r="H77" s="218"/>
      <c r="I77" s="237"/>
      <c r="J77" s="55"/>
      <c r="K77" s="56"/>
    </row>
    <row r="78" spans="1:11" ht="8.25" customHeight="1" x14ac:dyDescent="0.2">
      <c r="A78" s="55"/>
      <c r="B78" s="56"/>
      <c r="C78" s="56"/>
      <c r="D78" s="56"/>
      <c r="E78" s="56"/>
      <c r="F78" s="56"/>
      <c r="G78" s="56"/>
      <c r="H78" s="56"/>
      <c r="I78" s="73"/>
      <c r="J78" s="55"/>
      <c r="K78" s="56"/>
    </row>
    <row r="79" spans="1:11" ht="15" x14ac:dyDescent="0.25">
      <c r="A79" s="55"/>
      <c r="B79" s="56"/>
      <c r="C79" s="86" t="s">
        <v>90</v>
      </c>
      <c r="D79" s="77"/>
      <c r="E79" s="77"/>
      <c r="F79" s="56"/>
      <c r="G79" s="331" t="s">
        <v>539</v>
      </c>
      <c r="H79" s="292"/>
      <c r="I79" s="292"/>
      <c r="J79" s="55"/>
      <c r="K79" s="56"/>
    </row>
    <row r="80" spans="1:11" ht="49.5" customHeight="1" x14ac:dyDescent="0.2">
      <c r="A80" s="55"/>
      <c r="B80" s="58"/>
      <c r="C80" s="313" t="s">
        <v>540</v>
      </c>
      <c r="D80" s="165"/>
      <c r="E80" s="218"/>
      <c r="F80" s="329" t="s">
        <v>93</v>
      </c>
      <c r="G80" s="333" t="e">
        <f ca="1">claudeMessages(C80,'Tutorial How-To'!$E$37,"temperature",0)</f>
        <v>#NAME?</v>
      </c>
      <c r="H80" s="165"/>
      <c r="I80" s="218"/>
      <c r="J80" s="55"/>
      <c r="K80" s="56"/>
    </row>
    <row r="81" spans="1:11" ht="49.5" customHeight="1" x14ac:dyDescent="0.2">
      <c r="A81" s="55"/>
      <c r="B81" s="58"/>
      <c r="C81" s="292"/>
      <c r="D81" s="292"/>
      <c r="E81" s="237"/>
      <c r="F81" s="218"/>
      <c r="G81" s="292"/>
      <c r="H81" s="292"/>
      <c r="I81" s="237"/>
      <c r="J81" s="55"/>
      <c r="K81" s="56"/>
    </row>
    <row r="82" spans="1:11" ht="8.25" customHeight="1" x14ac:dyDescent="0.2">
      <c r="A82" s="55"/>
      <c r="B82" s="56"/>
      <c r="C82" s="56"/>
      <c r="D82" s="56"/>
      <c r="E82" s="56"/>
      <c r="F82" s="56"/>
      <c r="G82" s="56"/>
      <c r="H82" s="56"/>
      <c r="I82" s="73"/>
      <c r="J82" s="55"/>
      <c r="K82" s="56"/>
    </row>
    <row r="83" spans="1:11" ht="15" x14ac:dyDescent="0.25">
      <c r="A83" s="55"/>
      <c r="B83" s="56"/>
      <c r="C83" s="85" t="s">
        <v>184</v>
      </c>
      <c r="D83" s="56"/>
      <c r="E83" s="86" t="s">
        <v>541</v>
      </c>
      <c r="F83" s="56"/>
      <c r="G83" s="87" t="s">
        <v>186</v>
      </c>
      <c r="H83" s="56"/>
      <c r="I83" s="88" t="s">
        <v>542</v>
      </c>
      <c r="J83" s="55"/>
      <c r="K83" s="56"/>
    </row>
    <row r="84" spans="1:11" ht="66.75" customHeight="1" x14ac:dyDescent="0.2">
      <c r="A84" s="55"/>
      <c r="B84" s="89"/>
      <c r="C84" s="327" t="s">
        <v>543</v>
      </c>
      <c r="D84" s="320" t="s">
        <v>188</v>
      </c>
      <c r="E84" s="328" t="e">
        <f ca="1">CONCATENATE(C80,CHAR(10),"Assistant: ",G80)</f>
        <v>#NAME?</v>
      </c>
      <c r="F84" s="332" t="s">
        <v>190</v>
      </c>
      <c r="G84" s="240" t="e">
        <f ca="1">SUBSTITUTE(C84,"{{PAST_STORY}}",E84)</f>
        <v>#NAME?</v>
      </c>
      <c r="H84" s="329" t="s">
        <v>93</v>
      </c>
      <c r="I84" s="312" t="e">
        <f ca="1">claudeMessages(G84,'Tutorial How-To'!$E$37,"temperature",0)</f>
        <v>#NAME?</v>
      </c>
      <c r="J84" s="55"/>
      <c r="K84" s="56"/>
    </row>
    <row r="85" spans="1:11" ht="66.75" customHeight="1" x14ac:dyDescent="0.2">
      <c r="A85" s="55"/>
      <c r="B85" s="89"/>
      <c r="C85" s="273"/>
      <c r="D85" s="218"/>
      <c r="E85" s="218"/>
      <c r="F85" s="218"/>
      <c r="G85" s="218"/>
      <c r="H85" s="218"/>
      <c r="I85" s="218"/>
      <c r="J85" s="55"/>
      <c r="K85" s="56"/>
    </row>
    <row r="86" spans="1:11" ht="66.75" customHeight="1" x14ac:dyDescent="0.2">
      <c r="A86" s="55"/>
      <c r="B86" s="89"/>
      <c r="C86" s="273"/>
      <c r="D86" s="218"/>
      <c r="E86" s="218"/>
      <c r="F86" s="218"/>
      <c r="G86" s="218"/>
      <c r="H86" s="218"/>
      <c r="I86" s="218"/>
      <c r="J86" s="55"/>
      <c r="K86" s="56"/>
    </row>
    <row r="87" spans="1:11" ht="66.75" customHeight="1" x14ac:dyDescent="0.2">
      <c r="A87" s="55"/>
      <c r="B87" s="89"/>
      <c r="C87" s="276"/>
      <c r="D87" s="218"/>
      <c r="E87" s="237"/>
      <c r="F87" s="218"/>
      <c r="G87" s="237"/>
      <c r="H87" s="218"/>
      <c r="I87" s="237"/>
      <c r="J87" s="55"/>
      <c r="K87" s="56"/>
    </row>
    <row r="88" spans="1:11" ht="8.25" customHeight="1" x14ac:dyDescent="0.2">
      <c r="A88" s="55"/>
      <c r="B88" s="56"/>
      <c r="C88" s="56"/>
      <c r="D88" s="56"/>
      <c r="E88" s="56"/>
      <c r="F88" s="56"/>
      <c r="G88" s="56"/>
      <c r="H88" s="56"/>
      <c r="I88" s="73"/>
      <c r="J88" s="55"/>
      <c r="K88" s="56"/>
    </row>
    <row r="89" spans="1:11" ht="15" x14ac:dyDescent="0.25">
      <c r="A89" s="55"/>
      <c r="B89" s="56"/>
      <c r="C89" s="86" t="s">
        <v>545</v>
      </c>
      <c r="D89" s="56"/>
      <c r="E89" s="86" t="s">
        <v>546</v>
      </c>
      <c r="F89" s="56"/>
      <c r="G89" s="153" t="s">
        <v>553</v>
      </c>
      <c r="H89" s="56"/>
      <c r="I89" s="73"/>
      <c r="J89" s="55"/>
      <c r="K89" s="56"/>
    </row>
    <row r="90" spans="1:11" ht="94.5" customHeight="1" x14ac:dyDescent="0.3">
      <c r="A90" s="55"/>
      <c r="B90" s="58"/>
      <c r="C90" s="240" t="s">
        <v>548</v>
      </c>
      <c r="D90" s="329" t="s">
        <v>93</v>
      </c>
      <c r="E90" s="312" t="e">
        <f ca="1">claudeMessages(C90, 'Tutorial How-To'!$E$37,"temperature",0)</f>
        <v>#NAME?</v>
      </c>
      <c r="F90" s="161" t="s">
        <v>188</v>
      </c>
      <c r="G90" s="155" t="s">
        <v>549</v>
      </c>
      <c r="H90" s="56"/>
      <c r="I90" s="73"/>
      <c r="J90" s="55"/>
      <c r="K90" s="56"/>
    </row>
    <row r="91" spans="1:11" ht="15.75" customHeight="1" x14ac:dyDescent="0.25">
      <c r="A91" s="55"/>
      <c r="B91" s="58"/>
      <c r="C91" s="218"/>
      <c r="D91" s="218"/>
      <c r="E91" s="218"/>
      <c r="F91" s="56"/>
      <c r="G91" s="156" t="s">
        <v>190</v>
      </c>
      <c r="H91" s="56"/>
      <c r="I91" s="73"/>
      <c r="J91" s="55"/>
      <c r="K91" s="56"/>
    </row>
    <row r="92" spans="1:11" ht="15.75" customHeight="1" x14ac:dyDescent="0.25">
      <c r="A92" s="55"/>
      <c r="B92" s="58"/>
      <c r="C92" s="218"/>
      <c r="D92" s="218"/>
      <c r="E92" s="218"/>
      <c r="F92" s="56"/>
      <c r="G92" s="87" t="s">
        <v>550</v>
      </c>
      <c r="H92" s="56"/>
      <c r="I92" s="88" t="s">
        <v>551</v>
      </c>
      <c r="J92" s="55"/>
      <c r="K92" s="56"/>
    </row>
    <row r="93" spans="1:11" ht="83.25" customHeight="1" x14ac:dyDescent="0.2">
      <c r="A93" s="55"/>
      <c r="B93" s="58"/>
      <c r="C93" s="218"/>
      <c r="D93" s="218"/>
      <c r="E93" s="218"/>
      <c r="F93" s="58"/>
      <c r="G93" s="240" t="e">
        <f ca="1">SUBSTITUTE(G90,"{{NAMES}}",E90)</f>
        <v>#NAME?</v>
      </c>
      <c r="H93" s="75" t="s">
        <v>93</v>
      </c>
      <c r="I93" s="312" t="e">
        <f ca="1">claudeMessages(G93, 'Tutorial How-To'!$E$37,"temperature",0)</f>
        <v>#NAME?</v>
      </c>
      <c r="J93" s="55"/>
      <c r="K93" s="56"/>
    </row>
    <row r="94" spans="1:11" ht="83.25" customHeight="1" x14ac:dyDescent="0.2">
      <c r="A94" s="55"/>
      <c r="B94" s="58"/>
      <c r="C94" s="237"/>
      <c r="D94" s="218"/>
      <c r="E94" s="237"/>
      <c r="F94" s="58"/>
      <c r="G94" s="237"/>
      <c r="H94" s="58"/>
      <c r="I94" s="218"/>
      <c r="J94" s="55"/>
      <c r="K94" s="56"/>
    </row>
    <row r="95" spans="1:11" ht="15.75" customHeight="1" x14ac:dyDescent="0.2">
      <c r="B95" s="61"/>
      <c r="C95" s="116"/>
      <c r="D95" s="117"/>
      <c r="E95" s="118"/>
      <c r="F95" s="119"/>
      <c r="G95" s="118"/>
      <c r="H95" s="119"/>
      <c r="I95" s="118"/>
      <c r="J95" s="39"/>
    </row>
    <row r="96" spans="1:11" ht="12.75" x14ac:dyDescent="0.2">
      <c r="D96" s="25"/>
      <c r="F96" s="25"/>
      <c r="G96" s="49"/>
      <c r="H96" s="25"/>
      <c r="I96" s="41"/>
    </row>
    <row r="97" spans="2:10" ht="14.25" x14ac:dyDescent="0.2">
      <c r="B97" s="221" t="s">
        <v>554</v>
      </c>
      <c r="C97" s="165"/>
      <c r="D97" s="165"/>
      <c r="E97" s="165"/>
      <c r="G97" s="49"/>
      <c r="H97" s="25"/>
      <c r="I97" s="175" t="s">
        <v>555</v>
      </c>
      <c r="J97" s="165"/>
    </row>
    <row r="98" spans="2:10" ht="12.75" x14ac:dyDescent="0.2">
      <c r="G98" s="49"/>
      <c r="H98" s="25"/>
      <c r="I98" s="41"/>
    </row>
    <row r="99" spans="2:10" ht="14.25" x14ac:dyDescent="0.2">
      <c r="B99" s="222" t="s">
        <v>80</v>
      </c>
      <c r="C99" s="165"/>
      <c r="D99" s="165"/>
      <c r="E99" s="165"/>
      <c r="F99" s="165"/>
      <c r="G99" s="165"/>
      <c r="H99" s="165"/>
      <c r="I99" s="165"/>
      <c r="J99" s="165"/>
    </row>
    <row r="100" spans="2:10" ht="14.25" x14ac:dyDescent="0.2">
      <c r="B100" s="222" t="s">
        <v>113</v>
      </c>
      <c r="C100" s="165"/>
      <c r="D100" s="165"/>
      <c r="E100" s="165"/>
      <c r="F100" s="165"/>
      <c r="G100" s="165"/>
      <c r="H100" s="165"/>
      <c r="I100" s="165"/>
      <c r="J100" s="165"/>
    </row>
    <row r="101" spans="2:10" ht="12.75" x14ac:dyDescent="0.2">
      <c r="D101" s="25"/>
      <c r="F101" s="25"/>
      <c r="G101" s="49"/>
      <c r="H101" s="25"/>
      <c r="I101" s="41"/>
    </row>
    <row r="102" spans="2:10" ht="12.75" x14ac:dyDescent="0.2">
      <c r="D102" s="25"/>
      <c r="F102" s="25"/>
      <c r="G102" s="49"/>
      <c r="H102" s="25"/>
      <c r="I102" s="41"/>
    </row>
    <row r="103" spans="2:10" ht="12.75" x14ac:dyDescent="0.2">
      <c r="D103" s="25"/>
      <c r="F103" s="25"/>
      <c r="G103" s="49"/>
      <c r="H103" s="25"/>
      <c r="I103" s="41"/>
    </row>
    <row r="104" spans="2:10" ht="12.75" x14ac:dyDescent="0.2">
      <c r="D104" s="25"/>
      <c r="F104" s="25"/>
      <c r="G104" s="49"/>
      <c r="H104" s="25"/>
      <c r="I104" s="41"/>
    </row>
  </sheetData>
  <mergeCells count="86">
    <mergeCell ref="C52:C56"/>
    <mergeCell ref="D52:D56"/>
    <mergeCell ref="E52:E56"/>
    <mergeCell ref="G55:G56"/>
    <mergeCell ref="I55:I56"/>
    <mergeCell ref="H30:H33"/>
    <mergeCell ref="I30:I33"/>
    <mergeCell ref="B35:J35"/>
    <mergeCell ref="B37:J37"/>
    <mergeCell ref="G39:I39"/>
    <mergeCell ref="C30:C33"/>
    <mergeCell ref="D30:D33"/>
    <mergeCell ref="E30:E33"/>
    <mergeCell ref="F30:F33"/>
    <mergeCell ref="G30:G33"/>
    <mergeCell ref="B27:J27"/>
    <mergeCell ref="B11:E11"/>
    <mergeCell ref="C15:E17"/>
    <mergeCell ref="F15:F17"/>
    <mergeCell ref="G15:I17"/>
    <mergeCell ref="B19:J19"/>
    <mergeCell ref="C22:C25"/>
    <mergeCell ref="D22:D25"/>
    <mergeCell ref="E22:E25"/>
    <mergeCell ref="F22:F25"/>
    <mergeCell ref="I11:J11"/>
    <mergeCell ref="B12:J12"/>
    <mergeCell ref="G22:G25"/>
    <mergeCell ref="H22:H25"/>
    <mergeCell ref="I22:I25"/>
    <mergeCell ref="B1:G1"/>
    <mergeCell ref="B3:C3"/>
    <mergeCell ref="B8:E8"/>
    <mergeCell ref="I8:J8"/>
    <mergeCell ref="B9:J9"/>
    <mergeCell ref="B99:J99"/>
    <mergeCell ref="B100:J100"/>
    <mergeCell ref="C80:E81"/>
    <mergeCell ref="F80:F81"/>
    <mergeCell ref="G80:I81"/>
    <mergeCell ref="D84:D87"/>
    <mergeCell ref="E84:E87"/>
    <mergeCell ref="F84:F87"/>
    <mergeCell ref="I84:I87"/>
    <mergeCell ref="C84:C87"/>
    <mergeCell ref="C90:C94"/>
    <mergeCell ref="D90:D94"/>
    <mergeCell ref="E90:E94"/>
    <mergeCell ref="B97:E97"/>
    <mergeCell ref="G84:G87"/>
    <mergeCell ref="H84:H87"/>
    <mergeCell ref="G93:G94"/>
    <mergeCell ref="I93:I94"/>
    <mergeCell ref="I97:J97"/>
    <mergeCell ref="C74:C77"/>
    <mergeCell ref="D74:D77"/>
    <mergeCell ref="E74:E77"/>
    <mergeCell ref="F74:F77"/>
    <mergeCell ref="G74:G77"/>
    <mergeCell ref="H74:H77"/>
    <mergeCell ref="I74:I77"/>
    <mergeCell ref="G79:I79"/>
    <mergeCell ref="F68:F71"/>
    <mergeCell ref="G68:G71"/>
    <mergeCell ref="H68:H71"/>
    <mergeCell ref="I68:I71"/>
    <mergeCell ref="B59:E59"/>
    <mergeCell ref="C63:E65"/>
    <mergeCell ref="F63:F65"/>
    <mergeCell ref="G63:I65"/>
    <mergeCell ref="C68:C71"/>
    <mergeCell ref="D68:D71"/>
    <mergeCell ref="E68:E71"/>
    <mergeCell ref="I59:J59"/>
    <mergeCell ref="B60:J60"/>
    <mergeCell ref="I44:I47"/>
    <mergeCell ref="B49:J49"/>
    <mergeCell ref="C40:E41"/>
    <mergeCell ref="C44:C47"/>
    <mergeCell ref="D44:D47"/>
    <mergeCell ref="E44:E47"/>
    <mergeCell ref="F44:F47"/>
    <mergeCell ref="G44:G47"/>
    <mergeCell ref="H44:H47"/>
    <mergeCell ref="F40:F41"/>
    <mergeCell ref="G40:I41"/>
  </mergeCells>
  <hyperlinks>
    <hyperlink ref="C4" location="'Appendix - Chaining Prompts'!B8:E8" display="Lesson" xr:uid="{00000000-0004-0000-1800-000000000000}"/>
    <hyperlink ref="C5" location="'Appendix - Chaining Prompts'!B11:E11" display="Examples" xr:uid="{00000000-0004-0000-1800-000001000000}"/>
    <hyperlink ref="C6" location="'Appendix - Chaining Prompts'!B75:E75" display="Example Playground" xr:uid="{00000000-0004-0000-1800-000002000000}"/>
    <hyperlink ref="I8" location="'Appendix - Chaining Prompts'!B1:G1" display="Back to top ↑" xr:uid="{00000000-0004-0000-1800-000003000000}"/>
    <hyperlink ref="B9" r:id="rId1" xr:uid="{00000000-0004-0000-1800-000004000000}"/>
    <hyperlink ref="I11" location="'Appendix - Chaining Prompts'!B1:G1" display="Back to top ↑" xr:uid="{00000000-0004-0000-1800-000005000000}"/>
    <hyperlink ref="I59" location="'Appendix - Chaining Prompts'!B1:G1" display="Back to top ↑" xr:uid="{00000000-0004-0000-1800-000006000000}"/>
    <hyperlink ref="B97" location="C9CongratsTitle" display="← Chapter 9: Congratulations &amp; Next Steps" xr:uid="{00000000-0004-0000-1800-000007000000}"/>
    <hyperlink ref="I97" location="AppFunctionTitle" display="Appendix: Function Calling →" xr:uid="{00000000-0004-0000-1800-000008000000}"/>
    <hyperlink ref="B99" location="'Appendix - Chaining Prompts'!B1:G1" display="Back to top ↑" xr:uid="{00000000-0004-0000-1800-000009000000}"/>
    <hyperlink ref="B100" location="IntroTitle" display="Table of Contents" xr:uid="{00000000-0004-0000-1800-00000A000000}"/>
  </hyperlinks>
  <pageMargins left="0.7" right="0.7" top="0.75" bottom="0.75" header="0.3" footer="0.3"/>
  <pageSetup paperSize="9" scale="50" fitToHeight="0" orientation="portrait"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9900"/>
    <outlinePr summaryBelow="0" summaryRight="0"/>
    <pageSetUpPr fitToPage="1"/>
  </sheetPr>
  <dimension ref="A1:G16"/>
  <sheetViews>
    <sheetView showGridLines="0" workbookViewId="0"/>
  </sheetViews>
  <sheetFormatPr defaultColWidth="12.5703125" defaultRowHeight="15.75" customHeight="1" x14ac:dyDescent="0.2"/>
  <cols>
    <col min="1" max="1" width="5.42578125" customWidth="1"/>
    <col min="2" max="2" width="3" customWidth="1"/>
    <col min="3" max="3" width="32.7109375" customWidth="1"/>
    <col min="4" max="4" width="4" customWidth="1"/>
    <col min="5" max="5" width="39.42578125" customWidth="1"/>
    <col min="6" max="6" width="4" customWidth="1"/>
    <col min="7" max="7" width="6" customWidth="1"/>
  </cols>
  <sheetData>
    <row r="1" spans="1:7" ht="32.25" customHeight="1" x14ac:dyDescent="0.4">
      <c r="A1" s="1"/>
      <c r="B1" s="164" t="s">
        <v>556</v>
      </c>
      <c r="C1" s="165"/>
      <c r="D1" s="165"/>
      <c r="E1" s="165"/>
      <c r="F1" s="165"/>
      <c r="G1" s="165"/>
    </row>
    <row r="2" spans="1:7" ht="21.75" customHeight="1" x14ac:dyDescent="0.2">
      <c r="D2" s="25"/>
      <c r="F2" s="25"/>
      <c r="G2" s="49"/>
    </row>
    <row r="3" spans="1:7" ht="21.75" customHeight="1" x14ac:dyDescent="0.3">
      <c r="A3" s="16"/>
      <c r="B3" s="194" t="s">
        <v>76</v>
      </c>
      <c r="C3" s="165"/>
    </row>
    <row r="4" spans="1:7" ht="15.75" customHeight="1" x14ac:dyDescent="0.2">
      <c r="A4" s="16"/>
      <c r="C4" s="40" t="s">
        <v>72</v>
      </c>
    </row>
    <row r="5" spans="1:7" ht="15.75" customHeight="1" x14ac:dyDescent="0.2">
      <c r="A5" s="16"/>
    </row>
    <row r="6" spans="1:7" ht="30.75" customHeight="1" x14ac:dyDescent="0.2">
      <c r="A6" s="16" t="s">
        <v>78</v>
      </c>
      <c r="B6" s="195" t="s">
        <v>72</v>
      </c>
      <c r="C6" s="196"/>
      <c r="D6" s="196"/>
      <c r="E6" s="197" t="s">
        <v>80</v>
      </c>
      <c r="F6" s="198"/>
    </row>
    <row r="7" spans="1:7" ht="12.75" x14ac:dyDescent="0.2">
      <c r="B7" s="338" t="s">
        <v>557</v>
      </c>
      <c r="C7" s="188"/>
      <c r="D7" s="188"/>
      <c r="E7" s="188"/>
      <c r="F7" s="189"/>
    </row>
    <row r="8" spans="1:7" ht="29.25" customHeight="1" x14ac:dyDescent="0.2">
      <c r="D8" s="25"/>
      <c r="F8" s="25"/>
      <c r="G8" s="49"/>
    </row>
    <row r="9" spans="1:7" ht="14.25" x14ac:dyDescent="0.2">
      <c r="B9" s="221" t="s">
        <v>558</v>
      </c>
      <c r="C9" s="165"/>
      <c r="D9" s="162"/>
      <c r="E9" s="175" t="s">
        <v>559</v>
      </c>
      <c r="F9" s="165"/>
      <c r="G9" s="49"/>
    </row>
    <row r="10" spans="1:7" ht="12.75" x14ac:dyDescent="0.2">
      <c r="G10" s="49"/>
    </row>
    <row r="11" spans="1:7" ht="14.25" x14ac:dyDescent="0.2">
      <c r="B11" s="222" t="s">
        <v>80</v>
      </c>
      <c r="C11" s="165"/>
      <c r="D11" s="165"/>
      <c r="E11" s="165"/>
      <c r="F11" s="165"/>
      <c r="G11" s="163"/>
    </row>
    <row r="12" spans="1:7" ht="14.25" x14ac:dyDescent="0.2">
      <c r="B12" s="222" t="s">
        <v>113</v>
      </c>
      <c r="C12" s="165"/>
      <c r="D12" s="165"/>
      <c r="E12" s="165"/>
      <c r="F12" s="165"/>
      <c r="G12" s="163"/>
    </row>
    <row r="13" spans="1:7" ht="12.75" x14ac:dyDescent="0.2">
      <c r="D13" s="25"/>
      <c r="F13" s="25"/>
      <c r="G13" s="49"/>
    </row>
    <row r="14" spans="1:7" ht="12.75" x14ac:dyDescent="0.2">
      <c r="D14" s="25"/>
      <c r="F14" s="25"/>
      <c r="G14" s="49"/>
    </row>
    <row r="15" spans="1:7" ht="12.75" x14ac:dyDescent="0.2">
      <c r="D15" s="25"/>
      <c r="F15" s="25"/>
      <c r="G15" s="49"/>
    </row>
    <row r="16" spans="1:7" ht="12.75" x14ac:dyDescent="0.2">
      <c r="D16" s="25"/>
      <c r="F16" s="25"/>
      <c r="G16" s="49"/>
    </row>
  </sheetData>
  <mergeCells count="9">
    <mergeCell ref="B11:F11"/>
    <mergeCell ref="B12:F12"/>
    <mergeCell ref="B1:G1"/>
    <mergeCell ref="B3:C3"/>
    <mergeCell ref="B6:D6"/>
    <mergeCell ref="E6:F6"/>
    <mergeCell ref="B7:F7"/>
    <mergeCell ref="B9:C9"/>
    <mergeCell ref="E9:F9"/>
  </mergeCells>
  <hyperlinks>
    <hyperlink ref="E6" location="App1Title" display="Back to top ↑" xr:uid="{00000000-0004-0000-1900-000000000000}"/>
    <hyperlink ref="B7" r:id="rId1" xr:uid="{00000000-0004-0000-1900-000001000000}"/>
    <hyperlink ref="B9" location="AppChainingTitle" display="← Appendix: Chaining Prompts" xr:uid="{00000000-0004-0000-1900-000002000000}"/>
    <hyperlink ref="E9" location="App1Search" display="Appendix: Search &amp; Retrieval →" xr:uid="{00000000-0004-0000-1900-000003000000}"/>
    <hyperlink ref="B11" location="AppFunctionTitle" display="Back to top ↑" xr:uid="{00000000-0004-0000-1900-000004000000}"/>
    <hyperlink ref="B12" location="IntroTitle" display="Table of Contents" xr:uid="{00000000-0004-0000-1900-000005000000}"/>
  </hyperlinks>
  <pageMargins left="0.7" right="0.7" top="0.75" bottom="0.75" header="0.3" footer="0.3"/>
  <pageSetup paperSize="9" scale="94" fitToHeight="0" orientation="portrait"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9900"/>
    <outlinePr summaryBelow="0" summaryRight="0"/>
    <pageSetUpPr fitToPage="1"/>
  </sheetPr>
  <dimension ref="A1:G12"/>
  <sheetViews>
    <sheetView showGridLines="0" tabSelected="1" workbookViewId="0"/>
  </sheetViews>
  <sheetFormatPr defaultColWidth="12.5703125" defaultRowHeight="15.75" customHeight="1" x14ac:dyDescent="0.2"/>
  <cols>
    <col min="1" max="1" width="5.42578125" customWidth="1"/>
    <col min="2" max="2" width="3" customWidth="1"/>
    <col min="3" max="3" width="50.42578125" customWidth="1"/>
    <col min="4" max="4" width="4" customWidth="1"/>
    <col min="5" max="5" width="55.7109375" customWidth="1"/>
    <col min="6" max="6" width="3" customWidth="1"/>
    <col min="7" max="7" width="5.42578125" customWidth="1"/>
  </cols>
  <sheetData>
    <row r="1" spans="1:7" ht="32.25" customHeight="1" x14ac:dyDescent="0.4">
      <c r="A1" s="1"/>
      <c r="B1" s="164" t="s">
        <v>560</v>
      </c>
      <c r="C1" s="165"/>
      <c r="D1" s="165"/>
      <c r="E1" s="165"/>
      <c r="F1" s="3"/>
      <c r="G1" s="3"/>
    </row>
    <row r="2" spans="1:7" ht="21.75" customHeight="1" x14ac:dyDescent="0.2"/>
    <row r="3" spans="1:7" ht="21.75" customHeight="1" x14ac:dyDescent="0.3">
      <c r="A3" s="16"/>
      <c r="B3" s="194" t="s">
        <v>76</v>
      </c>
      <c r="C3" s="165"/>
    </row>
    <row r="4" spans="1:7" ht="15.75" customHeight="1" x14ac:dyDescent="0.2">
      <c r="A4" s="16"/>
      <c r="C4" s="40" t="s">
        <v>73</v>
      </c>
    </row>
    <row r="5" spans="1:7" ht="33.75" customHeight="1" x14ac:dyDescent="0.2"/>
    <row r="6" spans="1:7" ht="29.25" customHeight="1" x14ac:dyDescent="0.2">
      <c r="A6" s="41"/>
      <c r="B6" s="195" t="s">
        <v>73</v>
      </c>
      <c r="C6" s="196"/>
      <c r="D6" s="196"/>
      <c r="E6" s="197" t="s">
        <v>80</v>
      </c>
      <c r="F6" s="198"/>
      <c r="G6" s="41"/>
    </row>
    <row r="7" spans="1:7" ht="12.75" x14ac:dyDescent="0.2">
      <c r="B7" s="339" t="s">
        <v>561</v>
      </c>
      <c r="C7" s="188"/>
      <c r="D7" s="188"/>
      <c r="E7" s="188"/>
      <c r="F7" s="189"/>
    </row>
    <row r="9" spans="1:7" ht="14.25" x14ac:dyDescent="0.2">
      <c r="B9" s="221" t="s">
        <v>558</v>
      </c>
      <c r="C9" s="165"/>
      <c r="D9" s="165"/>
      <c r="E9" s="340"/>
      <c r="F9" s="165"/>
    </row>
    <row r="10" spans="1:7" ht="8.25" customHeight="1" x14ac:dyDescent="0.2"/>
    <row r="11" spans="1:7" ht="14.25" x14ac:dyDescent="0.2">
      <c r="B11" s="222" t="s">
        <v>80</v>
      </c>
      <c r="C11" s="165"/>
      <c r="D11" s="165"/>
      <c r="E11" s="165"/>
      <c r="F11" s="165"/>
    </row>
    <row r="12" spans="1:7" ht="14.25" x14ac:dyDescent="0.2">
      <c r="B12" s="222" t="s">
        <v>113</v>
      </c>
      <c r="C12" s="165"/>
      <c r="D12" s="165"/>
      <c r="E12" s="165"/>
      <c r="F12" s="165"/>
    </row>
  </sheetData>
  <mergeCells count="9">
    <mergeCell ref="B11:F11"/>
    <mergeCell ref="B12:F12"/>
    <mergeCell ref="B1:E1"/>
    <mergeCell ref="B3:C3"/>
    <mergeCell ref="B6:D6"/>
    <mergeCell ref="E6:F6"/>
    <mergeCell ref="B7:F7"/>
    <mergeCell ref="B9:D9"/>
    <mergeCell ref="E9:F9"/>
  </mergeCells>
  <hyperlinks>
    <hyperlink ref="C4" location="App1Search" display="Search &amp; Retrieval" xr:uid="{00000000-0004-0000-1A00-000000000000}"/>
    <hyperlink ref="E6" location="App1Title" display="Back to top ↑" xr:uid="{00000000-0004-0000-1A00-000001000000}"/>
    <hyperlink ref="B7" r:id="rId1" xr:uid="{00000000-0004-0000-1A00-000002000000}"/>
    <hyperlink ref="B9" location="AppChainingTitle" display="← Appendix: Chaining Prompts" xr:uid="{00000000-0004-0000-1A00-000003000000}"/>
    <hyperlink ref="B11" location="App1Title" display="Back to top ↑" xr:uid="{00000000-0004-0000-1A00-000004000000}"/>
    <hyperlink ref="B12" location="IntroTitle" display="Table of Contents" xr:uid="{00000000-0004-0000-1A00-000005000000}"/>
  </hyperlinks>
  <pageMargins left="0.7" right="0.7" top="0.75" bottom="0.75" header="0.3" footer="0.3"/>
  <pageSetup paperSize="9" scale="70" fitToHeight="0"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8</vt:i4>
      </vt:variant>
    </vt:vector>
  </HeadingPairs>
  <TitlesOfParts>
    <vt:vector size="35" baseType="lpstr">
      <vt:lpstr>Tutorial How-To</vt:lpstr>
      <vt:lpstr>Claude Cache</vt:lpstr>
      <vt:lpstr>Intro &amp; Table of Contents</vt:lpstr>
      <vt:lpstr>1 - Basic Prompt Structure</vt:lpstr>
      <vt:lpstr>1 - Exercises Basic Prompt Stru</vt:lpstr>
      <vt:lpstr>2 - Being Clear and Direct</vt:lpstr>
      <vt:lpstr>2 - Exercises Being Clear and D</vt:lpstr>
      <vt:lpstr>3 - Assigning Roles (Role Promp</vt:lpstr>
      <vt:lpstr>3 - Exercises Assigning Roles (</vt:lpstr>
      <vt:lpstr>4 - Separating Data and Instruc</vt:lpstr>
      <vt:lpstr>4 - Exercises Separating Data a</vt:lpstr>
      <vt:lpstr>5 - Formatting Output &amp; Speakin</vt:lpstr>
      <vt:lpstr>5 - Exercises Formatting Output</vt:lpstr>
      <vt:lpstr>6 - Precognition (Thinking Step</vt:lpstr>
      <vt:lpstr>6 - Exercises Precognition</vt:lpstr>
      <vt:lpstr>7 - Using Examples (Few-Shot Pr</vt:lpstr>
      <vt:lpstr>7 - Exercises Using Examples (F</vt:lpstr>
      <vt:lpstr>8 - Avoiding Hallucinations</vt:lpstr>
      <vt:lpstr>8 - Exercises Avoiding Hallucin</vt:lpstr>
      <vt:lpstr>9 - Complex Prompts from Scratc</vt:lpstr>
      <vt:lpstr>9 - Complex Prompts for Legal S</vt:lpstr>
      <vt:lpstr>9 - Complex Prompts for Financi</vt:lpstr>
      <vt:lpstr>9 - Exercises Complex Prompts f</vt:lpstr>
      <vt:lpstr>9 - Congratulations &amp; Next Step</vt:lpstr>
      <vt:lpstr>Appendix - Chaining Prompts</vt:lpstr>
      <vt:lpstr>Appendix - Function Calling</vt:lpstr>
      <vt:lpstr>Appendix - Search &amp; Retrieval</vt:lpstr>
      <vt:lpstr>App1Search</vt:lpstr>
      <vt:lpstr>App1Title</vt:lpstr>
      <vt:lpstr>AppChainingTitle</vt:lpstr>
      <vt:lpstr>AppFunctionLesson</vt:lpstr>
      <vt:lpstr>AppFunctionTitle</vt:lpstr>
      <vt:lpstr>IntroTitle</vt:lpstr>
      <vt:lpstr>'Tutorial How-To'!QuickStartTitle</vt:lpstr>
      <vt:lpstr>TutorialTitle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Mohammed Ali altellawi</cp:lastModifiedBy>
  <cp:lastPrinted>2026-07-14T13:39:58Z</cp:lastPrinted>
  <dcterms:created xsi:type="dcterms:W3CDTF">2026-07-14T13:38:19Z</dcterms:created>
  <dcterms:modified xsi:type="dcterms:W3CDTF">2026-07-14T13:44:06Z</dcterms:modified>
</cp:coreProperties>
</file>